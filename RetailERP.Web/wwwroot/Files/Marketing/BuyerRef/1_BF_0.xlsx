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Document\Chemical ERP\Martin- Austrilia\"/>
    </mc:Choice>
  </mc:AlternateContent>
  <xr:revisionPtr revIDLastSave="0" documentId="13_ncr:1_{7F20BC1A-A5B6-4983-BC92-FAA64417721F}" xr6:coauthVersionLast="47" xr6:coauthVersionMax="47" xr10:uidLastSave="{00000000-0000-0000-0000-000000000000}"/>
  <bookViews>
    <workbookView xWindow="-28920" yWindow="5295" windowWidth="29040" windowHeight="15720" activeTab="1" xr2:uid="{C90E129B-F8EC-47DB-ACE1-AA28184DB8E2}"/>
  </bookViews>
  <sheets>
    <sheet name="Ingredient Information (Tab 1)" sheetId="2" r:id="rId1"/>
    <sheet name="Formulation Sheet (Tab 2)" sheetId="3" r:id="rId2"/>
    <sheet name="INCI Breakdown_LOI (Tab 3)" sheetId="4" r:id="rId3"/>
    <sheet name="Stability test (Tab 4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3" l="1"/>
  <c r="M32" i="3"/>
  <c r="N32" i="3"/>
  <c r="J33" i="3"/>
  <c r="H33" i="3"/>
  <c r="J32" i="3"/>
  <c r="G33" i="3"/>
  <c r="G32" i="3"/>
  <c r="H31" i="3"/>
  <c r="O33" i="3" l="1"/>
  <c r="O34" i="3"/>
  <c r="O35" i="3"/>
  <c r="O36" i="3"/>
  <c r="O31" i="3"/>
  <c r="P33" i="3"/>
  <c r="P34" i="3"/>
  <c r="P35" i="3"/>
  <c r="P36" i="3"/>
  <c r="P31" i="3"/>
  <c r="P32" i="3"/>
  <c r="O32" i="3"/>
  <c r="N31" i="3"/>
  <c r="N33" i="3"/>
  <c r="N34" i="3"/>
  <c r="N35" i="3"/>
  <c r="N36" i="3"/>
  <c r="M36" i="3"/>
  <c r="M34" i="3"/>
  <c r="M35" i="3"/>
  <c r="M31" i="3"/>
  <c r="G31" i="3"/>
  <c r="G20" i="4"/>
  <c r="G19" i="4"/>
  <c r="J31" i="3" l="1"/>
  <c r="J36" i="3"/>
  <c r="G36" i="3"/>
  <c r="H36" i="3" s="1"/>
  <c r="G35" i="3"/>
  <c r="H35" i="3" s="1"/>
  <c r="G34" i="3"/>
  <c r="H34" i="3" s="1"/>
  <c r="H32" i="3"/>
  <c r="G28" i="4"/>
  <c r="G30" i="4"/>
  <c r="G29" i="4"/>
  <c r="G27" i="4"/>
  <c r="G26" i="4"/>
  <c r="G21" i="4"/>
  <c r="G22" i="4"/>
  <c r="G23" i="4"/>
  <c r="G24" i="4"/>
  <c r="G25" i="4"/>
  <c r="G95" i="4"/>
  <c r="G94" i="4"/>
  <c r="G93" i="4"/>
  <c r="J34" i="3" l="1"/>
  <c r="J35" i="3"/>
</calcChain>
</file>

<file path=xl/sharedStrings.xml><?xml version="1.0" encoding="utf-8"?>
<sst xmlns="http://schemas.openxmlformats.org/spreadsheetml/2006/main" count="412" uniqueCount="217">
  <si>
    <t>%</t>
  </si>
  <si>
    <t xml:space="preserve">Brand name </t>
  </si>
  <si>
    <t xml:space="preserve">Product Name </t>
  </si>
  <si>
    <t xml:space="preserve">Formula Code </t>
  </si>
  <si>
    <t>Formula version</t>
  </si>
  <si>
    <t>Supplier</t>
  </si>
  <si>
    <t>Manufacturer</t>
  </si>
  <si>
    <t>SDS</t>
  </si>
  <si>
    <t xml:space="preserve">COA/Specs </t>
  </si>
  <si>
    <t xml:space="preserve">INCI Breakdown </t>
  </si>
  <si>
    <t>Regulatory information</t>
  </si>
  <si>
    <t>TDS</t>
  </si>
  <si>
    <t>Animal test statement</t>
  </si>
  <si>
    <t>ISO 16128 statement</t>
  </si>
  <si>
    <t>Clinical data</t>
  </si>
  <si>
    <t>IFRA</t>
  </si>
  <si>
    <t>Allergen statements</t>
  </si>
  <si>
    <t>Ingredient Price per quantity used</t>
  </si>
  <si>
    <t xml:space="preserve">Step 1: instructions about ingredients 1,2 and 3 </t>
  </si>
  <si>
    <t>Step 2: instructions about ingredient 4 and 5</t>
  </si>
  <si>
    <t>Step 3: instructions about ingredient 6</t>
  </si>
  <si>
    <t>Cosmos natural/ Organic statement</t>
  </si>
  <si>
    <t>Project</t>
  </si>
  <si>
    <t xml:space="preserve">Date </t>
  </si>
  <si>
    <t xml:space="preserve">DEVELOPMENT MODULE (R&amp;D) : FORMULATION </t>
  </si>
  <si>
    <t xml:space="preserve">Pentavitin </t>
  </si>
  <si>
    <t>PENTAVITIN®</t>
  </si>
  <si>
    <t>Halal Cerificate</t>
  </si>
  <si>
    <t>2 decimal places</t>
  </si>
  <si>
    <t>Natural Index (ISO 16128) %</t>
  </si>
  <si>
    <t>Organic Index (ISO 16128) %</t>
  </si>
  <si>
    <t>Natural Origin Inxed (ISO 16128) %</t>
  </si>
  <si>
    <t>Organic Origin Index (ISO 16128) %</t>
  </si>
  <si>
    <t>DEVELOPMENT MODULE (R&amp;D): INCI breakdown and List of Ingredients</t>
  </si>
  <si>
    <t xml:space="preserve">Ingredient </t>
  </si>
  <si>
    <t xml:space="preserve">Final % in formulation </t>
  </si>
  <si>
    <t>Saccharide Isomerate</t>
  </si>
  <si>
    <t xml:space="preserve">Aqua  </t>
  </si>
  <si>
    <t>Sodium Citrate</t>
  </si>
  <si>
    <t xml:space="preserve">Citric Acid </t>
  </si>
  <si>
    <t>Ingredient breakdown</t>
  </si>
  <si>
    <t>water</t>
  </si>
  <si>
    <t>Hydraboost™ Complex</t>
  </si>
  <si>
    <t>Sodium Hyaluronate</t>
  </si>
  <si>
    <t>Betaine</t>
  </si>
  <si>
    <t xml:space="preserve">water </t>
  </si>
  <si>
    <t>Panthenol</t>
  </si>
  <si>
    <t xml:space="preserve">DermaShield™ Protect </t>
  </si>
  <si>
    <t>Microcare PHEG</t>
  </si>
  <si>
    <t>Tocopherol</t>
  </si>
  <si>
    <t>Helianthus Annuus Seed Oil</t>
  </si>
  <si>
    <t>Rosmarinus Officinalis Leaf Extract</t>
  </si>
  <si>
    <t xml:space="preserve">Phemoxyethanol </t>
  </si>
  <si>
    <t>Ethylhexylglycerin</t>
  </si>
  <si>
    <t xml:space="preserve">Glycerin </t>
  </si>
  <si>
    <t xml:space="preserve">Fragrance (parfum) </t>
  </si>
  <si>
    <r>
      <rPr>
        <b/>
        <sz val="11"/>
        <color theme="1"/>
        <rFont val="Calibri"/>
        <family val="2"/>
        <scheme val="minor"/>
      </rPr>
      <t xml:space="preserve">Status: </t>
    </r>
    <r>
      <rPr>
        <sz val="11"/>
        <color theme="1"/>
        <rFont val="Calibri"/>
        <family val="2"/>
        <scheme val="minor"/>
      </rPr>
      <t xml:space="preserve">Development or Approved </t>
    </r>
  </si>
  <si>
    <t xml:space="preserve">Ingredient code </t>
  </si>
  <si>
    <t xml:space="preserve">Ingredient Name </t>
  </si>
  <si>
    <t>INCI breakdow</t>
  </si>
  <si>
    <t>STL00001</t>
  </si>
  <si>
    <t>S00001</t>
  </si>
  <si>
    <r>
      <t>STL00001</t>
    </r>
    <r>
      <rPr>
        <b/>
        <sz val="11"/>
        <color theme="1"/>
        <rFont val="Calibri"/>
        <family val="2"/>
        <scheme val="minor"/>
      </rPr>
      <t>.01A</t>
    </r>
  </si>
  <si>
    <t>Information required:</t>
  </si>
  <si>
    <t>Method of manufacturing</t>
  </si>
  <si>
    <t>Product Specification</t>
  </si>
  <si>
    <t>Ingredient order</t>
  </si>
  <si>
    <t xml:space="preserve">Ingredient quantity in g </t>
  </si>
  <si>
    <t>Formulation total price</t>
  </si>
  <si>
    <t>MOQ per ingredients</t>
  </si>
  <si>
    <t>Lead time per ingredients</t>
  </si>
  <si>
    <t>Total Natural Index %</t>
  </si>
  <si>
    <t>Total Natural Origin Index %</t>
  </si>
  <si>
    <t>Total Organic Index %</t>
  </si>
  <si>
    <t>Total Organic Origin Index %</t>
  </si>
  <si>
    <t>Status</t>
  </si>
  <si>
    <t xml:space="preserve">Lock/Unlock </t>
  </si>
  <si>
    <t xml:space="preserve"> % of the ingredient (commercial name)</t>
  </si>
  <si>
    <t>% individual ingredient INCI in the commercial ingredient</t>
  </si>
  <si>
    <t xml:space="preserve">%  of each INCI in the final formulation </t>
  </si>
  <si>
    <t>Regulatory restrictions by country</t>
  </si>
  <si>
    <t>Impurity statement</t>
  </si>
  <si>
    <t xml:space="preserve">Example of how the list of ingredients is created: </t>
  </si>
  <si>
    <t>S00002</t>
  </si>
  <si>
    <t xml:space="preserve">Allergens </t>
  </si>
  <si>
    <t>Additional - It does not discount from the INCI %</t>
  </si>
  <si>
    <t>Limonene</t>
  </si>
  <si>
    <t>Linalool</t>
  </si>
  <si>
    <t>Geraniol</t>
  </si>
  <si>
    <t>% - does not SUM to 100%</t>
  </si>
  <si>
    <t>Natural Fragrance X</t>
  </si>
  <si>
    <t>Natural fragrance X</t>
  </si>
  <si>
    <t xml:space="preserve">Fragrance (Perfum) </t>
  </si>
  <si>
    <t>EXAMPLE</t>
  </si>
  <si>
    <t>Product Type: leave-on</t>
  </si>
  <si>
    <t>OVER 0.001%: needs to appear in the ingredient list</t>
  </si>
  <si>
    <t>UNDER 0.001% not included in the ingradients list</t>
  </si>
  <si>
    <t>Saccharide Isomerate,  Aqua,  Citric Acid, Sodium Citrate</t>
  </si>
  <si>
    <t>*See section INCI breakdown</t>
  </si>
  <si>
    <t>Palm Status</t>
  </si>
  <si>
    <t>DEVELOPMENT MODULE (R&amp;D): STABILITY TEST</t>
  </si>
  <si>
    <t>Appearance:</t>
  </si>
  <si>
    <t>Colour:</t>
  </si>
  <si>
    <t>Odour</t>
  </si>
  <si>
    <t xml:space="preserve">Viscosity: </t>
  </si>
  <si>
    <t>pH:</t>
  </si>
  <si>
    <t>SG:</t>
  </si>
  <si>
    <t>T0</t>
  </si>
  <si>
    <t>T2 (8 weeks)</t>
  </si>
  <si>
    <t xml:space="preserve">T1 (4 weeks) </t>
  </si>
  <si>
    <t>T3 (12 weeks)</t>
  </si>
  <si>
    <t>T4 (16 weeks)</t>
  </si>
  <si>
    <t>T5 (20 weeks)</t>
  </si>
  <si>
    <t>T6 (24 weeks)</t>
  </si>
  <si>
    <t>Odour:</t>
  </si>
  <si>
    <t>Temperature XX°C</t>
  </si>
  <si>
    <t>Comments section</t>
  </si>
  <si>
    <t>Section to upload pictures and documents (external tests/analyses)</t>
  </si>
  <si>
    <t>Documents upload section</t>
  </si>
  <si>
    <t xml:space="preserve">Formulation code </t>
  </si>
  <si>
    <t>Date</t>
  </si>
  <si>
    <t>Water</t>
  </si>
  <si>
    <r>
      <t xml:space="preserve">Ingredient Name </t>
    </r>
    <r>
      <rPr>
        <b/>
        <i/>
        <sz val="11"/>
        <color rgb="FF0070C0"/>
        <rFont val="Calibri"/>
        <family val="2"/>
        <scheme val="minor"/>
      </rPr>
      <t>(Commercial Name)</t>
    </r>
  </si>
  <si>
    <t>Price per kg</t>
  </si>
  <si>
    <t>Input</t>
  </si>
  <si>
    <t>input</t>
  </si>
  <si>
    <t>calculated</t>
  </si>
  <si>
    <t>show info input from "ingredient section"</t>
  </si>
  <si>
    <t xml:space="preserve">Regulatory section - warnings per country - regions: future section based on ingredient regulation database </t>
  </si>
  <si>
    <t>Formula viewing options</t>
  </si>
  <si>
    <t xml:space="preserve">Batch quantity </t>
  </si>
  <si>
    <r>
      <t xml:space="preserve">Ingredient step </t>
    </r>
    <r>
      <rPr>
        <i/>
        <sz val="11"/>
        <color theme="4"/>
        <rFont val="Calibri"/>
        <family val="2"/>
        <scheme val="minor"/>
      </rPr>
      <t>(method)</t>
    </r>
  </si>
  <si>
    <r>
      <t xml:space="preserve">Method of manufacturing MOM </t>
    </r>
    <r>
      <rPr>
        <b/>
        <sz val="11"/>
        <color rgb="FF0070C0"/>
        <rFont val="Calibri"/>
        <family val="2"/>
        <scheme val="minor"/>
      </rPr>
      <t>: Input</t>
    </r>
  </si>
  <si>
    <r>
      <rPr>
        <b/>
        <sz val="11"/>
        <color theme="1"/>
        <rFont val="Calibri"/>
        <family val="2"/>
        <scheme val="minor"/>
      </rPr>
      <t xml:space="preserve">Product specification: </t>
    </r>
    <r>
      <rPr>
        <b/>
        <sz val="11"/>
        <color rgb="FF0070C0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Appearance:
Colour:	
Odour	
Viscosity: 	
pH:
SG:</t>
    </r>
  </si>
  <si>
    <t xml:space="preserve">
Sodium Hyaluronate, water, Betaine, Panthenol</t>
  </si>
  <si>
    <r>
      <t xml:space="preserve">Number/order </t>
    </r>
    <r>
      <rPr>
        <b/>
        <sz val="11"/>
        <color rgb="FF0070C0"/>
        <rFont val="Calibri"/>
        <family val="2"/>
        <scheme val="minor"/>
      </rPr>
      <t>(input)</t>
    </r>
  </si>
  <si>
    <r>
      <t xml:space="preserve">Step </t>
    </r>
    <r>
      <rPr>
        <b/>
        <sz val="11"/>
        <color rgb="FF0070C0"/>
        <rFont val="Calibri"/>
        <family val="2"/>
        <scheme val="minor"/>
      </rPr>
      <t>(input)</t>
    </r>
  </si>
  <si>
    <t xml:space="preserve">DEVELOPMENT MODULE (R&amp;D): INGREDIENT INFORMATION SET-UP </t>
  </si>
  <si>
    <t>flag restrictions only - future section TBC</t>
  </si>
  <si>
    <t>Sample or Validated</t>
  </si>
  <si>
    <t xml:space="preserve">Note:  Best if ingredients with status "Sample" appear with a different colour or highlighted </t>
  </si>
  <si>
    <r>
      <rPr>
        <b/>
        <i/>
        <sz val="9"/>
        <color rgb="FFFF0000"/>
        <rFont val="Calibri"/>
        <family val="2"/>
        <scheme val="minor"/>
      </rPr>
      <t>Note: best if there is the option to select which columns appear or ignore in the formula. For project management, I might need to see some that are not required for printed lab batch.</t>
    </r>
    <r>
      <rPr>
        <b/>
        <i/>
        <sz val="9"/>
        <color theme="1"/>
        <rFont val="Calibri"/>
        <family val="2"/>
        <scheme val="minor"/>
      </rPr>
      <t xml:space="preserve"> </t>
    </r>
  </si>
  <si>
    <r>
      <t xml:space="preserve">% </t>
    </r>
    <r>
      <rPr>
        <b/>
        <sz val="11"/>
        <color rgb="FF0070C0"/>
        <rFont val="Calibri"/>
        <family val="2"/>
        <scheme val="minor"/>
      </rPr>
      <t>(</t>
    </r>
    <r>
      <rPr>
        <sz val="11"/>
        <color rgb="FF0070C0"/>
        <rFont val="Calibri"/>
        <family val="2"/>
        <scheme val="minor"/>
      </rPr>
      <t>input)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Minimal 4 decimal places</t>
    </r>
  </si>
  <si>
    <t>DermaShield™ Protect</t>
  </si>
  <si>
    <t>Tocopherol, Helianthus Annuus Seed Oil, Rosmarinus Officinalis Leaf Extract</t>
  </si>
  <si>
    <t>Phemoxyethanol, Ethylhexylglycerin</t>
  </si>
  <si>
    <t>Glycerin</t>
  </si>
  <si>
    <r>
      <t xml:space="preserve">Batch amount in (g)
</t>
    </r>
    <r>
      <rPr>
        <sz val="9"/>
        <color theme="1"/>
        <rFont val="Calibri"/>
        <family val="2"/>
        <scheme val="minor"/>
      </rPr>
      <t>(Manufacturing module will require it in Kg, if not possible to make R&amp;D formula in g and manufacturing in Kg die to decimal places, then keep R&amp;D module in Kg)</t>
    </r>
  </si>
  <si>
    <r>
      <t xml:space="preserve">Ingredient quantity (g)  </t>
    </r>
    <r>
      <rPr>
        <b/>
        <sz val="11"/>
        <color rgb="FF0070C0"/>
        <rFont val="Calibri"/>
        <family val="2"/>
        <scheme val="minor"/>
      </rPr>
      <t>Calculated</t>
    </r>
  </si>
  <si>
    <t>SUM:100.0000 %</t>
  </si>
  <si>
    <t>Ingredient quantity in % ideally 4 decimal places</t>
  </si>
  <si>
    <t xml:space="preserve">Section to set up the system to create Ingredients list based on formulation </t>
  </si>
  <si>
    <r>
      <t xml:space="preserve">CAS Number (Chemical identification number) - </t>
    </r>
    <r>
      <rPr>
        <b/>
        <sz val="11"/>
        <color rgb="FF0070C0"/>
        <rFont val="Calibri"/>
        <family val="2"/>
        <scheme val="minor"/>
      </rPr>
      <t>Input</t>
    </r>
  </si>
  <si>
    <r>
      <t xml:space="preserve">Igredient composition </t>
    </r>
    <r>
      <rPr>
        <b/>
        <sz val="11"/>
        <color rgb="FF0070C0"/>
        <rFont val="Calibri"/>
        <family val="2"/>
        <scheme val="minor"/>
      </rPr>
      <t xml:space="preserve"> Input</t>
    </r>
  </si>
  <si>
    <r>
      <t xml:space="preserve">Ingredient Name </t>
    </r>
    <r>
      <rPr>
        <b/>
        <sz val="11"/>
        <color rgb="FF0070C0"/>
        <rFont val="Calibri"/>
        <family val="2"/>
        <scheme val="minor"/>
      </rPr>
      <t>Input</t>
    </r>
  </si>
  <si>
    <r>
      <t xml:space="preserve">INCI breakdow </t>
    </r>
    <r>
      <rPr>
        <b/>
        <sz val="11"/>
        <color rgb="FF0070C0"/>
        <rFont val="Calibri"/>
        <family val="2"/>
        <scheme val="minor"/>
      </rPr>
      <t>Input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(composition of ingredient above)
</t>
    </r>
  </si>
  <si>
    <t>Information that R&amp;D input</t>
  </si>
  <si>
    <r>
      <t xml:space="preserve">Ingredient Code </t>
    </r>
    <r>
      <rPr>
        <b/>
        <sz val="11"/>
        <color rgb="FF0070C0"/>
        <rFont val="Calibri"/>
        <family val="2"/>
        <scheme val="minor"/>
      </rPr>
      <t>(from Tab 1 input)</t>
    </r>
  </si>
  <si>
    <t>Ideally we should be able to create codes with numbers and with letters and numbers e.g., ABC00001</t>
  </si>
  <si>
    <r>
      <t xml:space="preserve">Ingredient name </t>
    </r>
    <r>
      <rPr>
        <b/>
        <sz val="11"/>
        <color rgb="FF0070C0"/>
        <rFont val="Calibri"/>
        <family val="2"/>
        <scheme val="minor"/>
      </rPr>
      <t>(from Tab 1 input)</t>
    </r>
  </si>
  <si>
    <t>INPUT</t>
  </si>
  <si>
    <r>
      <t xml:space="preserve">INCI name </t>
    </r>
    <r>
      <rPr>
        <b/>
        <sz val="11"/>
        <color rgb="FF0070C0"/>
        <rFont val="Calibri"/>
        <family val="2"/>
        <scheme val="minor"/>
      </rPr>
      <t>( from Tab 1 input See Tab 3)</t>
    </r>
  </si>
  <si>
    <r>
      <t xml:space="preserve">Natural Index %
(ISO 16128) </t>
    </r>
    <r>
      <rPr>
        <b/>
        <u/>
        <sz val="11"/>
        <color rgb="FF0070C0"/>
        <rFont val="Calibri"/>
        <family val="2"/>
        <scheme val="minor"/>
      </rPr>
      <t>Calculated</t>
    </r>
    <r>
      <rPr>
        <b/>
        <sz val="11"/>
        <color rgb="FF0070C0"/>
        <rFont val="Calibri"/>
        <family val="2"/>
        <scheme val="minor"/>
      </rPr>
      <t xml:space="preserve"> from Tab 1 input</t>
    </r>
  </si>
  <si>
    <r>
      <t xml:space="preserve">Natural Origin Index %
(ISO 16128) </t>
    </r>
    <r>
      <rPr>
        <b/>
        <u/>
        <sz val="11"/>
        <color rgb="FF0070C0"/>
        <rFont val="Calibri"/>
        <family val="2"/>
        <scheme val="minor"/>
      </rPr>
      <t xml:space="preserve">Calculated </t>
    </r>
    <r>
      <rPr>
        <b/>
        <sz val="11"/>
        <color rgb="FF0070C0"/>
        <rFont val="Calibri"/>
        <family val="2"/>
        <scheme val="minor"/>
      </rPr>
      <t>from Tab 1 input</t>
    </r>
  </si>
  <si>
    <r>
      <t xml:space="preserve"> Organic Index %
(ISO 16128) </t>
    </r>
    <r>
      <rPr>
        <b/>
        <u/>
        <sz val="11"/>
        <color rgb="FF0070C0"/>
        <rFont val="Calibri"/>
        <family val="2"/>
        <scheme val="minor"/>
      </rPr>
      <t>Calculated</t>
    </r>
    <r>
      <rPr>
        <b/>
        <sz val="11"/>
        <color rgb="FF0070C0"/>
        <rFont val="Calibri"/>
        <family val="2"/>
        <scheme val="minor"/>
      </rPr>
      <t xml:space="preserve"> from Tab 1 input</t>
    </r>
  </si>
  <si>
    <r>
      <t xml:space="preserve"> Organic Origin Index %
(ISO 16128) </t>
    </r>
    <r>
      <rPr>
        <b/>
        <u/>
        <sz val="11"/>
        <color rgb="FF0070C0"/>
        <rFont val="Calibri"/>
        <family val="2"/>
        <scheme val="minor"/>
      </rPr>
      <t xml:space="preserve">Calculated </t>
    </r>
    <r>
      <rPr>
        <b/>
        <sz val="11"/>
        <color rgb="FF0070C0"/>
        <rFont val="Calibri"/>
        <family val="2"/>
        <scheme val="minor"/>
      </rPr>
      <t>from Tab 1 input</t>
    </r>
  </si>
  <si>
    <t xml:space="preserve">SUM: Total formulation Natural Index %
(ISO 16128) </t>
  </si>
  <si>
    <t xml:space="preserve">SUM: Total formulation Organic Index %
(ISO 16128) </t>
  </si>
  <si>
    <t xml:space="preserve">SUM: Total formulation Natural Origin Index %
(ISO 16128) </t>
  </si>
  <si>
    <t xml:space="preserve">SUM: Total formulation Organic Origin Index %
(ISO 16128) </t>
  </si>
  <si>
    <t>SUM: Total formula price</t>
  </si>
  <si>
    <r>
      <t xml:space="preserve">MOQ kg </t>
    </r>
    <r>
      <rPr>
        <b/>
        <sz val="11"/>
        <color rgb="FF0070C0"/>
        <rFont val="Calibri"/>
        <family val="2"/>
        <scheme val="minor"/>
      </rPr>
      <t>(info from Tab 1 input)</t>
    </r>
  </si>
  <si>
    <r>
      <t xml:space="preserve">lead time </t>
    </r>
    <r>
      <rPr>
        <b/>
        <sz val="11"/>
        <color rgb="FF0070C0"/>
        <rFont val="Calibri"/>
        <family val="2"/>
        <scheme val="minor"/>
      </rPr>
      <t>(info from Tab 1 input)</t>
    </r>
  </si>
  <si>
    <t>Regulatory warnings -future section TBC</t>
  </si>
  <si>
    <r>
      <t>%</t>
    </r>
    <r>
      <rPr>
        <b/>
        <sz val="11"/>
        <color rgb="FF0070C0"/>
        <rFont val="Calibri"/>
        <family val="2"/>
        <scheme val="minor"/>
      </rPr>
      <t xml:space="preserve"> Input</t>
    </r>
  </si>
  <si>
    <t>100843-69-4</t>
  </si>
  <si>
    <t>7732-18-5</t>
  </si>
  <si>
    <t>77-92-9</t>
  </si>
  <si>
    <t>9067-32-7</t>
  </si>
  <si>
    <t>107-43-7</t>
  </si>
  <si>
    <t>81-13-0</t>
  </si>
  <si>
    <t>59-02-9</t>
  </si>
  <si>
    <t>8001-21-6</t>
  </si>
  <si>
    <t>84604-14-8</t>
  </si>
  <si>
    <t>122-99-6</t>
  </si>
  <si>
    <t>70445-33-9</t>
  </si>
  <si>
    <t>56-81-5</t>
  </si>
  <si>
    <t xml:space="preserve">
67.9999 (Qs set-up here)</t>
  </si>
  <si>
    <r>
      <rPr>
        <b/>
        <sz val="11"/>
        <color rgb="FFFF0000"/>
        <rFont val="Calibri"/>
        <family val="2"/>
        <scheme val="minor"/>
      </rPr>
      <t xml:space="preserve">All commercial ingredient will be set up in the system </t>
    </r>
    <r>
      <rPr>
        <b/>
        <i/>
        <sz val="11"/>
        <color rgb="FFFF0000"/>
        <rFont val="Calibri"/>
        <family val="2"/>
        <scheme val="minor"/>
      </rPr>
      <t>(tab 1)</t>
    </r>
    <r>
      <rPr>
        <b/>
        <sz val="11"/>
        <color rgb="FFFF0000"/>
        <rFont val="Calibri"/>
        <family val="2"/>
        <scheme val="minor"/>
      </rPr>
      <t xml:space="preserve"> with their composition input </t>
    </r>
    <r>
      <rPr>
        <b/>
        <i/>
        <sz val="11"/>
        <color rgb="FFFF0000"/>
        <rFont val="Calibri"/>
        <family val="2"/>
        <scheme val="minor"/>
      </rPr>
      <t>(as above)</t>
    </r>
    <r>
      <rPr>
        <b/>
        <sz val="11"/>
        <color rgb="FFFF0000"/>
        <rFont val="Calibri"/>
        <family val="2"/>
        <scheme val="minor"/>
      </rPr>
      <t>, once the formulation from the previous tab 2 is created the system calculate the following to give the composition of ingredients in descendent order.</t>
    </r>
  </si>
  <si>
    <t>6132-04-3</t>
  </si>
  <si>
    <r>
      <t xml:space="preserve">Ingredient </t>
    </r>
    <r>
      <rPr>
        <b/>
        <sz val="11"/>
        <color rgb="FF0070C0"/>
        <rFont val="Calibri"/>
        <family val="2"/>
        <scheme val="minor"/>
      </rPr>
      <t>(commercial Name - from formula Tab 2)</t>
    </r>
  </si>
  <si>
    <r>
      <t xml:space="preserve"> % of the ingredient </t>
    </r>
    <r>
      <rPr>
        <b/>
        <sz val="11"/>
        <color rgb="FF0070C0"/>
        <rFont val="Calibri"/>
        <family val="2"/>
        <scheme val="minor"/>
      </rPr>
      <t>(commercial name)</t>
    </r>
    <r>
      <rPr>
        <b/>
        <sz val="11"/>
        <color theme="1"/>
        <rFont val="Calibri"/>
        <family val="2"/>
        <scheme val="minor"/>
      </rPr>
      <t xml:space="preserve"> in the formulation </t>
    </r>
    <r>
      <rPr>
        <b/>
        <sz val="11"/>
        <color rgb="FF0070C0"/>
        <rFont val="Calibri"/>
        <family val="2"/>
        <scheme val="minor"/>
      </rPr>
      <t>(input from formula creation Tab 2</t>
    </r>
    <r>
      <rPr>
        <b/>
        <sz val="11"/>
        <color theme="1"/>
        <rFont val="Calibri"/>
        <family val="2"/>
        <scheme val="minor"/>
      </rPr>
      <t>)</t>
    </r>
  </si>
  <si>
    <r>
      <t xml:space="preserve">Ingredient breakdown </t>
    </r>
    <r>
      <rPr>
        <b/>
        <sz val="11"/>
        <color rgb="FF0070C0"/>
        <rFont val="Calibri"/>
        <family val="2"/>
        <scheme val="minor"/>
      </rPr>
      <t>(input from each ingredient set-up in Tab 1 - as set up example above)</t>
    </r>
  </si>
  <si>
    <r>
      <t xml:space="preserve">CAS Number </t>
    </r>
    <r>
      <rPr>
        <b/>
        <sz val="11"/>
        <color rgb="FF0070C0"/>
        <rFont val="Calibri"/>
        <family val="2"/>
        <scheme val="minor"/>
      </rPr>
      <t xml:space="preserve"> (input from each ingredient set-up in Tab 1 - as set up example above)</t>
    </r>
  </si>
  <si>
    <r>
      <t xml:space="preserve">% individual ingredient INCI in the commercial ingredient </t>
    </r>
    <r>
      <rPr>
        <b/>
        <sz val="11"/>
        <color rgb="FF0070C0"/>
        <rFont val="Calibri"/>
        <family val="2"/>
        <scheme val="minor"/>
      </rPr>
      <t xml:space="preserve"> (input from each ingredient set-up in Tab 1 - as set up example above)</t>
    </r>
  </si>
  <si>
    <r>
      <t xml:space="preserve">%  of each INCI in the  final formulation </t>
    </r>
    <r>
      <rPr>
        <b/>
        <u/>
        <sz val="11"/>
        <color rgb="FF0070C0"/>
        <rFont val="Calibri"/>
        <family val="2"/>
        <scheme val="minor"/>
      </rPr>
      <t>(Calculated f</t>
    </r>
    <r>
      <rPr>
        <b/>
        <sz val="11"/>
        <color rgb="FF0070C0"/>
        <rFont val="Calibri"/>
        <family val="2"/>
        <scheme val="minor"/>
      </rPr>
      <t>rom formulation and Tab 2 and composition of each ingredient set up in tab 1)</t>
    </r>
  </si>
  <si>
    <r>
      <t xml:space="preserve">Ingredient breakdown </t>
    </r>
    <r>
      <rPr>
        <b/>
        <sz val="11"/>
        <color rgb="FFFF0000"/>
        <rFont val="Calibri"/>
        <family val="2"/>
        <scheme val="minor"/>
      </rPr>
      <t>(All ingredients with the same name needs to be SUM)</t>
    </r>
  </si>
  <si>
    <t xml:space="preserve">Water </t>
  </si>
  <si>
    <t>Organize the ingredients in descendent quantity order to create ingredient list</t>
  </si>
  <si>
    <t xml:space="preserve">Phenoxyethanol </t>
  </si>
  <si>
    <t>List of ingredients: Water, Glycerin, Betaine, Sodium Hyaluronate, Panthenol, Phenoxyethanol, Saccharide Isomerate, Ethylhexylglycerin, Citric Acid, Sodium Citrate, Tocopherol, Helianthus Annuus Seed Oil, Rosmarinus Officinalis Leaf Extract.</t>
  </si>
  <si>
    <r>
      <t xml:space="preserve">
***For formulation that contain fragrances or essential oils:  allergens must be included in the ingedient lists for the following cases:
</t>
    </r>
    <r>
      <rPr>
        <b/>
        <sz val="11"/>
        <color theme="5"/>
        <rFont val="Calibri"/>
        <family val="2"/>
        <scheme val="minor"/>
      </rPr>
      <t xml:space="preserve">The allergens are or exceed 0.001% in leave-on products. 
The allergens are or exceed 0.01% in wash-off products.
</t>
    </r>
    <r>
      <rPr>
        <b/>
        <sz val="11"/>
        <color rgb="FF0070C0"/>
        <rFont val="Calibri"/>
        <family val="2"/>
        <scheme val="minor"/>
      </rPr>
      <t xml:space="preserve">
Leave-on/wash-off information is set up in the formulation creation (Tab 2) </t>
    </r>
    <r>
      <rPr>
        <i/>
        <sz val="11"/>
        <color rgb="FF0070C0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 xml:space="preserve">Just few ingredients will have allergens ideally we would have an option in the INCI breakdown to add the allergens composition when required 
</t>
    </r>
    <r>
      <rPr>
        <b/>
        <sz val="11"/>
        <color theme="1"/>
        <rFont val="Calibri"/>
        <family val="2"/>
        <scheme val="minor"/>
      </rPr>
      <t xml:space="preserve">
In the INCI breakdown input we can a "box" to click to open a section to include allergens doe the ingredient breakdown.
</t>
    </r>
  </si>
  <si>
    <t>Exemple of previous formulation with a fragrance that require to disclaim allergens</t>
  </si>
  <si>
    <t>All input based on measurement</t>
  </si>
  <si>
    <t>Temperature to be decided based on product type</t>
  </si>
  <si>
    <t xml:space="preserve">*See section INCI breakdown </t>
  </si>
  <si>
    <t>NOTE: The part in gray is what is generally printed as lab batchsheet</t>
  </si>
  <si>
    <r>
      <t xml:space="preserve">SUM: Total Amount </t>
    </r>
    <r>
      <rPr>
        <b/>
        <sz val="11"/>
        <color rgb="FF0070C0"/>
        <rFont val="Calibri"/>
        <family val="2"/>
        <scheme val="minor"/>
      </rPr>
      <t>(in this example is 250)</t>
    </r>
  </si>
  <si>
    <r>
      <rPr>
        <b/>
        <sz val="11"/>
        <color theme="1"/>
        <rFont val="Calibri"/>
        <family val="2"/>
        <scheme val="minor"/>
      </rPr>
      <t xml:space="preserve">Formulation type: </t>
    </r>
    <r>
      <rPr>
        <i/>
        <sz val="11"/>
        <color theme="1"/>
        <rFont val="Calibri"/>
        <family val="2"/>
        <scheme val="minor"/>
      </rPr>
      <t>we should be able to select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 xml:space="preserve">Leave-on </t>
    </r>
    <r>
      <rPr>
        <sz val="11"/>
        <color theme="5"/>
        <rFont val="Calibri"/>
        <family val="2"/>
        <scheme val="minor"/>
      </rPr>
      <t xml:space="preserve">or </t>
    </r>
    <r>
      <rPr>
        <b/>
        <sz val="11"/>
        <color theme="5"/>
        <rFont val="Calibri"/>
        <family val="2"/>
        <scheme val="minor"/>
      </rPr>
      <t>Wash-off</t>
    </r>
  </si>
  <si>
    <r>
      <t xml:space="preserve">INCI Breakdown </t>
    </r>
    <r>
      <rPr>
        <b/>
        <i/>
        <sz val="11"/>
        <color rgb="FF0070C0"/>
        <rFont val="Calibri"/>
        <family val="2"/>
        <scheme val="minor"/>
      </rPr>
      <t>(Cosmetic Composition)</t>
    </r>
  </si>
  <si>
    <r>
      <t xml:space="preserve">Allergens </t>
    </r>
    <r>
      <rPr>
        <b/>
        <i/>
        <sz val="11"/>
        <color rgb="FF0070C0"/>
        <rFont val="Calibri"/>
        <family val="2"/>
        <scheme val="minor"/>
      </rPr>
      <t>(when applicable)</t>
    </r>
  </si>
  <si>
    <r>
      <t xml:space="preserve">MOQ </t>
    </r>
    <r>
      <rPr>
        <b/>
        <i/>
        <sz val="11"/>
        <color rgb="FF0070C0"/>
        <rFont val="Calibri"/>
        <family val="2"/>
        <scheme val="minor"/>
      </rPr>
      <t>(minimal order quantity)</t>
    </r>
    <r>
      <rPr>
        <b/>
        <sz val="11"/>
        <color theme="1"/>
        <rFont val="Calibri"/>
        <family val="2"/>
        <scheme val="minor"/>
      </rPr>
      <t xml:space="preserve"> in kg</t>
    </r>
  </si>
  <si>
    <t>Lead time: in days or weeks</t>
  </si>
  <si>
    <t>Master</t>
  </si>
  <si>
    <t>Child</t>
  </si>
  <si>
    <r>
      <t xml:space="preserve">Ingredient quantity (kg)  </t>
    </r>
    <r>
      <rPr>
        <b/>
        <sz val="11"/>
        <color rgb="FF0070C0"/>
        <rFont val="Calibri"/>
        <family val="2"/>
        <scheme val="minor"/>
      </rPr>
      <t>Calculated</t>
    </r>
  </si>
  <si>
    <t>Ingredient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</si>
</sst>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25" applyNumberFormat="0" applyAlignment="0" applyProtection="0"/>
  </cellStyleXfs>
  <cellXfs count="2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6" xfId="0" applyFont="1" applyBorder="1"/>
    <xf numFmtId="0" fontId="0" fillId="0" borderId="9" xfId="0" applyBorder="1"/>
    <xf numFmtId="0" fontId="0" fillId="0" borderId="12" xfId="0" applyBorder="1"/>
    <xf numFmtId="0" fontId="1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11" xfId="0" applyBorder="1" applyAlignment="1">
      <alignment horizontal="center"/>
    </xf>
    <xf numFmtId="0" fontId="1" fillId="0" borderId="13" xfId="0" applyFont="1" applyBorder="1"/>
    <xf numFmtId="0" fontId="1" fillId="0" borderId="22" xfId="0" applyFont="1" applyBorder="1"/>
    <xf numFmtId="0" fontId="1" fillId="0" borderId="7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18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16" xfId="0" applyFont="1" applyBorder="1"/>
    <xf numFmtId="0" fontId="0" fillId="0" borderId="8" xfId="0" applyBorder="1"/>
    <xf numFmtId="2" fontId="0" fillId="0" borderId="9" xfId="0" applyNumberFormat="1" applyBorder="1" applyAlignment="1">
      <alignment horizontal="center" vertical="center"/>
    </xf>
    <xf numFmtId="0" fontId="1" fillId="0" borderId="19" xfId="0" applyFont="1" applyBorder="1"/>
    <xf numFmtId="0" fontId="0" fillId="0" borderId="17" xfId="0" applyBorder="1" applyAlignment="1">
      <alignment wrapText="1"/>
    </xf>
    <xf numFmtId="0" fontId="0" fillId="0" borderId="19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3" xfId="0" applyBorder="1"/>
    <xf numFmtId="0" fontId="1" fillId="0" borderId="13" xfId="0" applyFont="1" applyBorder="1" applyAlignment="1">
      <alignment horizontal="center" vertical="center"/>
    </xf>
    <xf numFmtId="0" fontId="0" fillId="0" borderId="40" xfId="0" applyBorder="1"/>
    <xf numFmtId="2" fontId="0" fillId="0" borderId="39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31" xfId="0" applyFont="1" applyBorder="1"/>
    <xf numFmtId="164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0" fontId="4" fillId="3" borderId="44" xfId="2" applyBorder="1" applyAlignment="1">
      <alignment horizontal="center" vertical="center"/>
    </xf>
    <xf numFmtId="2" fontId="4" fillId="3" borderId="45" xfId="2" applyNumberFormat="1" applyBorder="1" applyAlignment="1">
      <alignment horizontal="center" vertical="center"/>
    </xf>
    <xf numFmtId="164" fontId="4" fillId="3" borderId="45" xfId="2" applyNumberFormat="1" applyBorder="1" applyAlignment="1">
      <alignment horizontal="center" vertical="center"/>
    </xf>
    <xf numFmtId="0" fontId="4" fillId="3" borderId="46" xfId="2" applyBorder="1" applyAlignment="1">
      <alignment horizontal="center" vertical="center"/>
    </xf>
    <xf numFmtId="2" fontId="4" fillId="3" borderId="25" xfId="2" applyNumberFormat="1" applyAlignment="1">
      <alignment horizontal="center" vertical="center"/>
    </xf>
    <xf numFmtId="164" fontId="4" fillId="3" borderId="25" xfId="2" applyNumberFormat="1" applyAlignment="1">
      <alignment horizontal="center" vertical="center"/>
    </xf>
    <xf numFmtId="0" fontId="4" fillId="3" borderId="48" xfId="2" applyBorder="1" applyAlignment="1">
      <alignment horizontal="center" vertical="center"/>
    </xf>
    <xf numFmtId="2" fontId="4" fillId="3" borderId="49" xfId="2" applyNumberFormat="1" applyBorder="1" applyAlignment="1">
      <alignment horizontal="center" vertical="center"/>
    </xf>
    <xf numFmtId="164" fontId="4" fillId="3" borderId="49" xfId="2" applyNumberFormat="1" applyBorder="1" applyAlignment="1">
      <alignment horizontal="center" vertical="center"/>
    </xf>
    <xf numFmtId="0" fontId="4" fillId="3" borderId="31" xfId="2" applyBorder="1"/>
    <xf numFmtId="0" fontId="5" fillId="0" borderId="16" xfId="0" applyFont="1" applyBorder="1" applyAlignment="1">
      <alignment wrapText="1"/>
    </xf>
    <xf numFmtId="0" fontId="1" fillId="0" borderId="26" xfId="0" applyFont="1" applyBorder="1"/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1" xfId="0" applyBorder="1"/>
    <xf numFmtId="0" fontId="0" fillId="0" borderId="3" xfId="0" applyBorder="1"/>
    <xf numFmtId="0" fontId="0" fillId="0" borderId="52" xfId="0" applyBorder="1"/>
    <xf numFmtId="0" fontId="0" fillId="0" borderId="53" xfId="0" applyBorder="1"/>
    <xf numFmtId="0" fontId="0" fillId="4" borderId="9" xfId="0" applyFill="1" applyBorder="1"/>
    <xf numFmtId="0" fontId="9" fillId="0" borderId="0" xfId="0" applyFont="1"/>
    <xf numFmtId="0" fontId="1" fillId="4" borderId="17" xfId="0" applyFont="1" applyFill="1" applyBorder="1"/>
    <xf numFmtId="0" fontId="6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3" borderId="54" xfId="2" applyBorder="1" applyAlignment="1">
      <alignment horizontal="center" vertical="center"/>
    </xf>
    <xf numFmtId="0" fontId="4" fillId="3" borderId="55" xfId="2" applyBorder="1" applyAlignment="1">
      <alignment horizontal="center" vertical="center"/>
    </xf>
    <xf numFmtId="0" fontId="4" fillId="3" borderId="56" xfId="2" applyBorder="1" applyAlignment="1">
      <alignment horizontal="center" vertical="center"/>
    </xf>
    <xf numFmtId="0" fontId="1" fillId="0" borderId="0" xfId="0" applyFont="1" applyAlignment="1">
      <alignment wrapText="1"/>
    </xf>
    <xf numFmtId="9" fontId="0" fillId="0" borderId="17" xfId="0" applyNumberFormat="1" applyBorder="1"/>
    <xf numFmtId="0" fontId="0" fillId="0" borderId="32" xfId="0" applyBorder="1"/>
    <xf numFmtId="0" fontId="1" fillId="0" borderId="4" xfId="0" applyFont="1" applyBorder="1"/>
    <xf numFmtId="0" fontId="1" fillId="0" borderId="3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8" fillId="0" borderId="18" xfId="0" applyFont="1" applyBorder="1"/>
    <xf numFmtId="0" fontId="1" fillId="0" borderId="42" xfId="0" applyFont="1" applyBorder="1" applyAlignment="1">
      <alignment wrapText="1"/>
    </xf>
    <xf numFmtId="0" fontId="0" fillId="4" borderId="61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0" borderId="35" xfId="0" applyFont="1" applyBorder="1" applyAlignment="1">
      <alignment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2" fillId="0" borderId="19" xfId="0" applyFont="1" applyBorder="1"/>
    <xf numFmtId="49" fontId="0" fillId="0" borderId="12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6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2" xfId="0" applyFill="1" applyBorder="1"/>
    <xf numFmtId="0" fontId="1" fillId="0" borderId="18" xfId="0" applyFont="1" applyBorder="1" applyAlignment="1">
      <alignment wrapText="1"/>
    </xf>
    <xf numFmtId="0" fontId="0" fillId="4" borderId="8" xfId="0" applyFill="1" applyBorder="1"/>
    <xf numFmtId="0" fontId="8" fillId="0" borderId="0" xfId="0" applyFont="1"/>
    <xf numFmtId="0" fontId="0" fillId="0" borderId="10" xfId="0" applyBorder="1"/>
    <xf numFmtId="0" fontId="3" fillId="2" borderId="16" xfId="1" applyBorder="1" applyAlignment="1">
      <alignment wrapText="1"/>
    </xf>
    <xf numFmtId="0" fontId="4" fillId="3" borderId="47" xfId="2" applyBorder="1" applyAlignment="1">
      <alignment wrapText="1"/>
    </xf>
    <xf numFmtId="0" fontId="4" fillId="3" borderId="50" xfId="2" applyBorder="1" applyAlignment="1">
      <alignment wrapText="1"/>
    </xf>
    <xf numFmtId="165" fontId="0" fillId="0" borderId="7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2" fontId="0" fillId="7" borderId="39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9" fillId="0" borderId="64" xfId="0" applyFont="1" applyBorder="1"/>
    <xf numFmtId="0" fontId="1" fillId="8" borderId="18" xfId="0" applyFont="1" applyFill="1" applyBorder="1"/>
    <xf numFmtId="0" fontId="1" fillId="8" borderId="19" xfId="0" applyFont="1" applyFill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14" fillId="5" borderId="18" xfId="0" applyFont="1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5" borderId="0" xfId="0" applyFill="1" applyAlignment="1">
      <alignment vertical="center"/>
    </xf>
    <xf numFmtId="0" fontId="0" fillId="0" borderId="17" xfId="0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13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vertical="center" wrapText="1"/>
    </xf>
    <xf numFmtId="0" fontId="0" fillId="5" borderId="19" xfId="0" applyFill="1" applyBorder="1" applyAlignment="1">
      <alignment vertical="center"/>
    </xf>
    <xf numFmtId="0" fontId="13" fillId="5" borderId="19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164" fontId="9" fillId="5" borderId="1" xfId="0" applyNumberFormat="1" applyFont="1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49" fontId="0" fillId="5" borderId="11" xfId="0" applyNumberFormat="1" applyFill="1" applyBorder="1" applyAlignment="1">
      <alignment vertical="center"/>
    </xf>
    <xf numFmtId="0" fontId="9" fillId="5" borderId="11" xfId="0" applyFont="1" applyFill="1" applyBorder="1" applyAlignment="1">
      <alignment vertical="center"/>
    </xf>
    <xf numFmtId="164" fontId="9" fillId="5" borderId="11" xfId="0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30" xfId="0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5" borderId="27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9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1" fillId="5" borderId="29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0" fontId="0" fillId="5" borderId="65" xfId="0" applyFill="1" applyBorder="1" applyAlignment="1">
      <alignment vertical="center"/>
    </xf>
    <xf numFmtId="0" fontId="1" fillId="5" borderId="66" xfId="0" applyFont="1" applyFill="1" applyBorder="1" applyAlignment="1">
      <alignment vertical="center" wrapText="1"/>
    </xf>
    <xf numFmtId="0" fontId="1" fillId="9" borderId="19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1" fillId="9" borderId="0" xfId="0" applyFont="1" applyFill="1" applyAlignment="1">
      <alignment vertical="center"/>
    </xf>
    <xf numFmtId="0" fontId="0" fillId="5" borderId="3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0" fontId="0" fillId="9" borderId="0" xfId="0" applyFill="1" applyAlignment="1">
      <alignment vertical="center"/>
    </xf>
    <xf numFmtId="0" fontId="1" fillId="5" borderId="18" xfId="0" applyFont="1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26" xfId="0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0" borderId="18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49" fontId="0" fillId="10" borderId="1" xfId="0" applyNumberForma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164" fontId="9" fillId="10" borderId="1" xfId="0" applyNumberFormat="1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10" borderId="23" xfId="0" applyFill="1" applyBorder="1" applyAlignment="1">
      <alignment vertical="center"/>
    </xf>
    <xf numFmtId="0" fontId="0" fillId="10" borderId="0" xfId="0" applyFill="1" applyAlignment="1">
      <alignment vertical="center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17</xdr:row>
      <xdr:rowOff>971550</xdr:rowOff>
    </xdr:from>
    <xdr:to>
      <xdr:col>7</xdr:col>
      <xdr:colOff>1143000</xdr:colOff>
      <xdr:row>17</xdr:row>
      <xdr:rowOff>1143000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D8672C9-7B7D-B423-51B8-A71CF324D864}"/>
            </a:ext>
          </a:extLst>
        </xdr:cNvPr>
        <xdr:cNvSpPr/>
      </xdr:nvSpPr>
      <xdr:spPr>
        <a:xfrm>
          <a:off x="11645900" y="4699000"/>
          <a:ext cx="895350" cy="1714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349250</xdr:colOff>
      <xdr:row>17</xdr:row>
      <xdr:rowOff>965200</xdr:rowOff>
    </xdr:from>
    <xdr:to>
      <xdr:col>10</xdr:col>
      <xdr:colOff>1244600</xdr:colOff>
      <xdr:row>17</xdr:row>
      <xdr:rowOff>1193800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AEC5634-9266-4982-8A47-CB41774D11DC}"/>
            </a:ext>
          </a:extLst>
        </xdr:cNvPr>
        <xdr:cNvSpPr/>
      </xdr:nvSpPr>
      <xdr:spPr>
        <a:xfrm>
          <a:off x="17551400" y="4692650"/>
          <a:ext cx="89535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1574800</xdr:colOff>
      <xdr:row>33</xdr:row>
      <xdr:rowOff>107950</xdr:rowOff>
    </xdr:from>
    <xdr:to>
      <xdr:col>12</xdr:col>
      <xdr:colOff>19050</xdr:colOff>
      <xdr:row>35</xdr:row>
      <xdr:rowOff>38100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936E4278-4EDC-AA7C-9BF2-B637139F2358}"/>
            </a:ext>
          </a:extLst>
        </xdr:cNvPr>
        <xdr:cNvSpPr/>
      </xdr:nvSpPr>
      <xdr:spPr>
        <a:xfrm>
          <a:off x="20180300" y="8121650"/>
          <a:ext cx="203200" cy="3048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228600</xdr:colOff>
      <xdr:row>40</xdr:row>
      <xdr:rowOff>76200</xdr:rowOff>
    </xdr:from>
    <xdr:to>
      <xdr:col>10</xdr:col>
      <xdr:colOff>1123950</xdr:colOff>
      <xdr:row>41</xdr:row>
      <xdr:rowOff>114300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DDBC6C6C-8987-48C5-A3CF-87B498D64C9F}"/>
            </a:ext>
          </a:extLst>
        </xdr:cNvPr>
        <xdr:cNvSpPr/>
      </xdr:nvSpPr>
      <xdr:spPr>
        <a:xfrm rot="10800000">
          <a:off x="17430750" y="9385300"/>
          <a:ext cx="89535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234950</xdr:colOff>
      <xdr:row>37</xdr:row>
      <xdr:rowOff>76199</xdr:rowOff>
    </xdr:from>
    <xdr:to>
      <xdr:col>7</xdr:col>
      <xdr:colOff>1397000</xdr:colOff>
      <xdr:row>39</xdr:row>
      <xdr:rowOff>57149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983AA015-E2A4-4798-8C41-FB3B76B974E4}"/>
            </a:ext>
          </a:extLst>
        </xdr:cNvPr>
        <xdr:cNvSpPr/>
      </xdr:nvSpPr>
      <xdr:spPr>
        <a:xfrm rot="10800000">
          <a:off x="10255250" y="8832849"/>
          <a:ext cx="2540000" cy="349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DAC3-EA52-44A2-838E-B5A7D240D949}">
  <sheetPr>
    <pageSetUpPr fitToPage="1"/>
  </sheetPr>
  <dimension ref="A1:C33"/>
  <sheetViews>
    <sheetView zoomScale="90" zoomScaleNormal="90" workbookViewId="0">
      <selection activeCell="A7" sqref="A7:B10"/>
    </sheetView>
  </sheetViews>
  <sheetFormatPr defaultRowHeight="14.4" x14ac:dyDescent="0.3"/>
  <cols>
    <col min="1" max="1" width="35.6640625" customWidth="1"/>
    <col min="2" max="2" width="65.109375" customWidth="1"/>
    <col min="3" max="3" width="21.109375" customWidth="1"/>
  </cols>
  <sheetData>
    <row r="1" spans="1:3" x14ac:dyDescent="0.3">
      <c r="A1" s="3" t="s">
        <v>137</v>
      </c>
    </row>
    <row r="2" spans="1:3" ht="15" thickBot="1" x14ac:dyDescent="0.35">
      <c r="A2" s="3"/>
      <c r="B2" t="s">
        <v>156</v>
      </c>
    </row>
    <row r="3" spans="1:3" ht="28.8" x14ac:dyDescent="0.3">
      <c r="A3" s="154" t="s">
        <v>57</v>
      </c>
      <c r="B3" s="71" t="s">
        <v>158</v>
      </c>
    </row>
    <row r="4" spans="1:3" x14ac:dyDescent="0.3">
      <c r="A4" s="155" t="s">
        <v>122</v>
      </c>
      <c r="B4" s="9" t="s">
        <v>26</v>
      </c>
    </row>
    <row r="5" spans="1:3" ht="19.95" customHeight="1" x14ac:dyDescent="0.3">
      <c r="A5" s="155" t="s">
        <v>209</v>
      </c>
      <c r="B5" s="38" t="s">
        <v>98</v>
      </c>
      <c r="C5" s="22"/>
    </row>
    <row r="6" spans="1:3" ht="28.5" customHeight="1" x14ac:dyDescent="0.3">
      <c r="A6" s="155" t="s">
        <v>210</v>
      </c>
      <c r="B6" s="38" t="s">
        <v>205</v>
      </c>
      <c r="C6" s="22"/>
    </row>
    <row r="7" spans="1:3" ht="25.05" customHeight="1" x14ac:dyDescent="0.3">
      <c r="A7" s="155" t="s">
        <v>29</v>
      </c>
      <c r="B7" s="38" t="s">
        <v>28</v>
      </c>
    </row>
    <row r="8" spans="1:3" ht="25.05" customHeight="1" x14ac:dyDescent="0.3">
      <c r="A8" s="155" t="s">
        <v>31</v>
      </c>
      <c r="B8" s="38" t="s">
        <v>28</v>
      </c>
    </row>
    <row r="9" spans="1:3" ht="25.05" customHeight="1" x14ac:dyDescent="0.3">
      <c r="A9" s="155" t="s">
        <v>30</v>
      </c>
      <c r="B9" s="38" t="s">
        <v>28</v>
      </c>
    </row>
    <row r="10" spans="1:3" ht="25.05" customHeight="1" x14ac:dyDescent="0.3">
      <c r="A10" s="155" t="s">
        <v>32</v>
      </c>
      <c r="B10" s="38" t="s">
        <v>28</v>
      </c>
    </row>
    <row r="11" spans="1:3" x14ac:dyDescent="0.3">
      <c r="A11" s="155" t="s">
        <v>123</v>
      </c>
      <c r="B11" s="9"/>
    </row>
    <row r="12" spans="1:3" x14ac:dyDescent="0.3">
      <c r="A12" s="155" t="s">
        <v>211</v>
      </c>
      <c r="B12" s="9"/>
    </row>
    <row r="13" spans="1:3" x14ac:dyDescent="0.3">
      <c r="A13" s="155" t="s">
        <v>212</v>
      </c>
      <c r="B13" s="9"/>
    </row>
    <row r="14" spans="1:3" x14ac:dyDescent="0.3">
      <c r="A14" s="155" t="s">
        <v>5</v>
      </c>
      <c r="B14" s="9"/>
    </row>
    <row r="15" spans="1:3" x14ac:dyDescent="0.3">
      <c r="A15" s="155" t="s">
        <v>6</v>
      </c>
      <c r="B15" s="9"/>
    </row>
    <row r="16" spans="1:3" x14ac:dyDescent="0.3">
      <c r="A16" s="37" t="s">
        <v>80</v>
      </c>
      <c r="B16" s="9" t="s">
        <v>138</v>
      </c>
    </row>
    <row r="17" spans="1:2" x14ac:dyDescent="0.3">
      <c r="A17" s="155" t="s">
        <v>75</v>
      </c>
      <c r="B17" s="85" t="s">
        <v>139</v>
      </c>
    </row>
    <row r="18" spans="1:2" ht="15" thickBot="1" x14ac:dyDescent="0.35">
      <c r="A18" s="37"/>
      <c r="B18" s="9"/>
    </row>
    <row r="19" spans="1:2" ht="15" thickBot="1" x14ac:dyDescent="0.35">
      <c r="A19" s="21" t="s">
        <v>118</v>
      </c>
      <c r="B19" s="8"/>
    </row>
    <row r="20" spans="1:2" x14ac:dyDescent="0.3">
      <c r="A20" s="21" t="s">
        <v>7</v>
      </c>
      <c r="B20" s="8"/>
    </row>
    <row r="21" spans="1:2" x14ac:dyDescent="0.3">
      <c r="A21" s="37" t="s">
        <v>8</v>
      </c>
      <c r="B21" s="9"/>
    </row>
    <row r="22" spans="1:2" x14ac:dyDescent="0.3">
      <c r="A22" s="37" t="s">
        <v>9</v>
      </c>
      <c r="B22" s="9"/>
    </row>
    <row r="23" spans="1:2" x14ac:dyDescent="0.3">
      <c r="A23" s="37" t="s">
        <v>15</v>
      </c>
      <c r="B23" s="9"/>
    </row>
    <row r="24" spans="1:2" x14ac:dyDescent="0.3">
      <c r="A24" s="37" t="s">
        <v>16</v>
      </c>
      <c r="B24" s="9"/>
    </row>
    <row r="25" spans="1:2" x14ac:dyDescent="0.3">
      <c r="A25" s="37" t="s">
        <v>10</v>
      </c>
      <c r="B25" s="9"/>
    </row>
    <row r="26" spans="1:2" x14ac:dyDescent="0.3">
      <c r="A26" s="37" t="s">
        <v>81</v>
      </c>
      <c r="B26" s="9"/>
    </row>
    <row r="27" spans="1:2" x14ac:dyDescent="0.3">
      <c r="A27" s="37" t="s">
        <v>11</v>
      </c>
      <c r="B27" s="9"/>
    </row>
    <row r="28" spans="1:2" x14ac:dyDescent="0.3">
      <c r="A28" s="37" t="s">
        <v>13</v>
      </c>
      <c r="B28" s="9"/>
    </row>
    <row r="29" spans="1:2" x14ac:dyDescent="0.3">
      <c r="A29" s="37" t="s">
        <v>21</v>
      </c>
      <c r="B29" s="9"/>
    </row>
    <row r="30" spans="1:2" x14ac:dyDescent="0.3">
      <c r="A30" s="37" t="s">
        <v>27</v>
      </c>
      <c r="B30" s="9"/>
    </row>
    <row r="31" spans="1:2" x14ac:dyDescent="0.3">
      <c r="A31" s="37" t="s">
        <v>12</v>
      </c>
      <c r="B31" s="9"/>
    </row>
    <row r="32" spans="1:2" x14ac:dyDescent="0.3">
      <c r="A32" s="37" t="s">
        <v>99</v>
      </c>
      <c r="B32" s="9"/>
    </row>
    <row r="33" spans="1:2" ht="15" thickBot="1" x14ac:dyDescent="0.35">
      <c r="A33" s="72" t="s">
        <v>14</v>
      </c>
      <c r="B33" s="20"/>
    </row>
  </sheetData>
  <phoneticPr fontId="2" type="noConversion"/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E150-1BCD-49B2-A64B-F12D742475B3}">
  <sheetPr>
    <pageSetUpPr fitToPage="1"/>
  </sheetPr>
  <dimension ref="A1:Q47"/>
  <sheetViews>
    <sheetView tabSelected="1" topLeftCell="A16" zoomScale="115" zoomScaleNormal="115" workbookViewId="0">
      <selection activeCell="A22" sqref="A22:A24"/>
    </sheetView>
  </sheetViews>
  <sheetFormatPr defaultRowHeight="14.4" x14ac:dyDescent="0.3"/>
  <cols>
    <col min="1" max="1" width="32.77734375" style="157" customWidth="1"/>
    <col min="2" max="2" width="24.44140625" style="157" customWidth="1"/>
    <col min="3" max="3" width="21.44140625" style="157" customWidth="1"/>
    <col min="4" max="4" width="44" style="157" customWidth="1"/>
    <col min="5" max="5" width="26" style="157" customWidth="1"/>
    <col min="6" max="6" width="25.33203125" style="157" customWidth="1"/>
    <col min="7" max="9" width="12.6640625" style="157" customWidth="1"/>
    <col min="10" max="10" width="17.77734375" style="157" customWidth="1"/>
    <col min="11" max="16" width="15.33203125" style="157" customWidth="1"/>
    <col min="17" max="17" width="16.6640625" style="157" customWidth="1"/>
    <col min="18" max="16384" width="8.88671875" style="157"/>
  </cols>
  <sheetData>
    <row r="1" spans="1:10" x14ac:dyDescent="0.3">
      <c r="A1" s="156" t="s">
        <v>24</v>
      </c>
    </row>
    <row r="2" spans="1:10" x14ac:dyDescent="0.3">
      <c r="A2" s="207"/>
      <c r="B2" s="206"/>
      <c r="C2" s="206"/>
      <c r="D2" s="206"/>
      <c r="E2" s="206"/>
      <c r="F2" s="206"/>
      <c r="G2" s="206"/>
      <c r="H2" s="206"/>
      <c r="I2" s="206"/>
      <c r="J2" s="206"/>
    </row>
    <row r="3" spans="1:10" x14ac:dyDescent="0.3">
      <c r="A3" s="207" t="s">
        <v>63</v>
      </c>
      <c r="B3" s="206"/>
      <c r="C3" s="207"/>
      <c r="D3" s="207" t="s">
        <v>129</v>
      </c>
      <c r="E3" s="206"/>
      <c r="F3" s="206"/>
      <c r="G3" s="206"/>
      <c r="H3" s="206"/>
      <c r="I3" s="206"/>
      <c r="J3" s="206"/>
    </row>
    <row r="4" spans="1:10" x14ac:dyDescent="0.3">
      <c r="A4" s="158" t="s">
        <v>3</v>
      </c>
      <c r="B4" s="206" t="s">
        <v>213</v>
      </c>
      <c r="C4" s="206"/>
      <c r="D4" s="158" t="s">
        <v>130</v>
      </c>
      <c r="E4" s="209" t="s">
        <v>124</v>
      </c>
      <c r="F4" s="206" t="s">
        <v>213</v>
      </c>
      <c r="G4" s="206"/>
      <c r="H4" s="206"/>
      <c r="I4" s="206"/>
      <c r="J4" s="206"/>
    </row>
    <row r="5" spans="1:10" x14ac:dyDescent="0.3">
      <c r="A5" s="158" t="s">
        <v>4</v>
      </c>
      <c r="B5" s="206" t="s">
        <v>213</v>
      </c>
      <c r="C5" s="206"/>
      <c r="D5" s="206" t="s">
        <v>66</v>
      </c>
      <c r="E5" s="209" t="s">
        <v>125</v>
      </c>
      <c r="F5" s="206" t="s">
        <v>214</v>
      </c>
      <c r="G5" s="206"/>
      <c r="H5" s="206"/>
      <c r="I5" s="206"/>
      <c r="J5" s="206"/>
    </row>
    <row r="6" spans="1:10" x14ac:dyDescent="0.3">
      <c r="A6" s="158" t="s">
        <v>1</v>
      </c>
      <c r="B6" s="206" t="s">
        <v>213</v>
      </c>
      <c r="C6" s="206"/>
      <c r="D6" s="206" t="s">
        <v>131</v>
      </c>
      <c r="E6" s="209" t="s">
        <v>125</v>
      </c>
      <c r="F6" s="206" t="s">
        <v>214</v>
      </c>
      <c r="G6" s="206"/>
      <c r="H6" s="206"/>
      <c r="I6" s="206"/>
      <c r="J6" s="206"/>
    </row>
    <row r="7" spans="1:10" x14ac:dyDescent="0.3">
      <c r="A7" s="158" t="s">
        <v>22</v>
      </c>
      <c r="B7" s="206" t="s">
        <v>213</v>
      </c>
      <c r="C7" s="206"/>
      <c r="D7" s="210" t="s">
        <v>150</v>
      </c>
      <c r="E7" s="209" t="s">
        <v>125</v>
      </c>
      <c r="F7" s="206" t="s">
        <v>214</v>
      </c>
      <c r="G7" s="206"/>
      <c r="H7" s="206"/>
      <c r="I7" s="206"/>
      <c r="J7" s="206"/>
    </row>
    <row r="8" spans="1:10" x14ac:dyDescent="0.3">
      <c r="A8" s="158" t="s">
        <v>23</v>
      </c>
      <c r="B8" s="206" t="s">
        <v>213</v>
      </c>
      <c r="C8" s="206"/>
      <c r="D8" s="206" t="s">
        <v>67</v>
      </c>
      <c r="E8" s="209" t="s">
        <v>126</v>
      </c>
      <c r="F8" s="206" t="s">
        <v>214</v>
      </c>
      <c r="G8" s="206"/>
      <c r="H8" s="206"/>
      <c r="I8" s="206"/>
      <c r="J8" s="206"/>
    </row>
    <row r="9" spans="1:10" x14ac:dyDescent="0.3">
      <c r="A9" s="158" t="s">
        <v>75</v>
      </c>
      <c r="B9" s="206" t="s">
        <v>213</v>
      </c>
      <c r="C9" s="206"/>
      <c r="D9" s="206" t="s">
        <v>17</v>
      </c>
      <c r="E9" s="209" t="s">
        <v>126</v>
      </c>
      <c r="F9" s="206" t="s">
        <v>214</v>
      </c>
      <c r="G9" s="206"/>
      <c r="H9" s="206"/>
      <c r="I9" s="206"/>
      <c r="J9" s="206"/>
    </row>
    <row r="10" spans="1:10" x14ac:dyDescent="0.3">
      <c r="A10" s="158" t="s">
        <v>76</v>
      </c>
      <c r="B10" s="206" t="s">
        <v>213</v>
      </c>
      <c r="C10" s="206"/>
      <c r="D10" s="158" t="s">
        <v>68</v>
      </c>
      <c r="E10" s="209" t="s">
        <v>126</v>
      </c>
      <c r="F10" s="206" t="s">
        <v>213</v>
      </c>
      <c r="G10" s="206"/>
      <c r="H10" s="206"/>
      <c r="I10" s="206"/>
      <c r="J10" s="206"/>
    </row>
    <row r="11" spans="1:10" ht="28.8" x14ac:dyDescent="0.3">
      <c r="A11" s="160" t="s">
        <v>208</v>
      </c>
      <c r="B11" s="206" t="s">
        <v>213</v>
      </c>
      <c r="C11" s="206"/>
      <c r="D11" s="206" t="s">
        <v>69</v>
      </c>
      <c r="E11" s="209" t="s">
        <v>127</v>
      </c>
      <c r="F11" s="206"/>
      <c r="G11" s="206" t="s">
        <v>214</v>
      </c>
      <c r="H11" s="206"/>
      <c r="I11" s="206"/>
      <c r="J11" s="206"/>
    </row>
    <row r="12" spans="1:10" x14ac:dyDescent="0.3">
      <c r="A12" s="206"/>
      <c r="B12" s="206"/>
      <c r="C12" s="206"/>
      <c r="D12" s="206" t="s">
        <v>70</v>
      </c>
      <c r="E12" s="209" t="s">
        <v>127</v>
      </c>
      <c r="F12" s="206"/>
      <c r="G12" s="206" t="s">
        <v>214</v>
      </c>
      <c r="H12" s="206"/>
      <c r="I12" s="206"/>
      <c r="J12" s="206"/>
    </row>
    <row r="13" spans="1:10" x14ac:dyDescent="0.3">
      <c r="A13" s="206"/>
      <c r="B13" s="206"/>
      <c r="C13" s="206"/>
      <c r="D13" s="206" t="s">
        <v>128</v>
      </c>
      <c r="E13" s="206"/>
      <c r="F13" s="206"/>
      <c r="G13" s="206" t="s">
        <v>214</v>
      </c>
      <c r="H13" s="206"/>
      <c r="I13" s="206"/>
      <c r="J13" s="206"/>
    </row>
    <row r="14" spans="1:10" x14ac:dyDescent="0.3">
      <c r="A14" s="206"/>
      <c r="B14" s="206"/>
      <c r="C14" s="210"/>
      <c r="D14" s="160" t="s">
        <v>71</v>
      </c>
      <c r="E14" s="209" t="s">
        <v>126</v>
      </c>
      <c r="F14" s="206" t="s">
        <v>213</v>
      </c>
      <c r="G14" s="206"/>
      <c r="H14" s="206"/>
      <c r="I14" s="206"/>
      <c r="J14" s="206"/>
    </row>
    <row r="15" spans="1:10" x14ac:dyDescent="0.3">
      <c r="A15" s="206"/>
      <c r="B15" s="206"/>
      <c r="C15" s="210"/>
      <c r="D15" s="160" t="s">
        <v>72</v>
      </c>
      <c r="E15" s="209" t="s">
        <v>126</v>
      </c>
      <c r="F15" s="206" t="s">
        <v>213</v>
      </c>
      <c r="G15" s="206"/>
      <c r="H15" s="206"/>
      <c r="I15" s="206"/>
      <c r="J15" s="206"/>
    </row>
    <row r="16" spans="1:10" x14ac:dyDescent="0.3">
      <c r="A16" s="206"/>
      <c r="B16" s="206"/>
      <c r="C16" s="206"/>
      <c r="D16" s="158" t="s">
        <v>73</v>
      </c>
      <c r="E16" s="209" t="s">
        <v>126</v>
      </c>
      <c r="F16" s="206" t="s">
        <v>213</v>
      </c>
      <c r="G16" s="206"/>
      <c r="H16" s="206"/>
      <c r="I16" s="206"/>
      <c r="J16" s="206"/>
    </row>
    <row r="17" spans="1:17" x14ac:dyDescent="0.3">
      <c r="A17" s="207"/>
      <c r="B17" s="206"/>
      <c r="C17" s="206"/>
      <c r="D17" s="158" t="s">
        <v>74</v>
      </c>
      <c r="E17" s="209" t="s">
        <v>126</v>
      </c>
      <c r="F17" s="206" t="s">
        <v>213</v>
      </c>
      <c r="G17" s="206"/>
      <c r="H17" s="206"/>
      <c r="I17" s="206"/>
      <c r="J17" s="206"/>
    </row>
    <row r="18" spans="1:17" x14ac:dyDescent="0.3">
      <c r="A18" s="207"/>
      <c r="B18" s="206"/>
      <c r="C18" s="206"/>
      <c r="D18" s="206" t="s">
        <v>64</v>
      </c>
      <c r="E18" s="209" t="s">
        <v>124</v>
      </c>
      <c r="F18" s="206" t="s">
        <v>213</v>
      </c>
      <c r="G18" s="206"/>
      <c r="H18" s="206"/>
      <c r="I18" s="206"/>
      <c r="J18" s="206"/>
    </row>
    <row r="19" spans="1:17" x14ac:dyDescent="0.3">
      <c r="A19" s="207"/>
      <c r="B19" s="206"/>
      <c r="C19" s="206"/>
      <c r="D19" s="206" t="s">
        <v>65</v>
      </c>
      <c r="E19" s="209" t="s">
        <v>125</v>
      </c>
      <c r="F19" s="206" t="s">
        <v>213</v>
      </c>
      <c r="G19" s="206"/>
      <c r="H19" s="206"/>
      <c r="I19" s="206"/>
      <c r="J19" s="206"/>
    </row>
    <row r="20" spans="1:17" ht="15" thickBot="1" x14ac:dyDescent="0.35">
      <c r="A20" s="156"/>
    </row>
    <row r="21" spans="1:17" x14ac:dyDescent="0.3">
      <c r="A21" s="161" t="s">
        <v>141</v>
      </c>
      <c r="B21" s="162"/>
      <c r="C21" s="162"/>
      <c r="D21" s="162"/>
      <c r="E21" s="162"/>
      <c r="F21" s="162"/>
      <c r="G21" s="162"/>
      <c r="H21" s="162"/>
      <c r="I21" s="162"/>
      <c r="J21" s="163"/>
      <c r="K21" s="163"/>
      <c r="L21" s="163"/>
      <c r="M21" s="163"/>
      <c r="N21" s="163"/>
      <c r="O21" s="163"/>
      <c r="P21" s="163"/>
      <c r="Q21" s="164"/>
    </row>
    <row r="22" spans="1:17" x14ac:dyDescent="0.3">
      <c r="A22" s="219" t="s">
        <v>1</v>
      </c>
      <c r="B22" s="220"/>
      <c r="C22" s="221" t="s">
        <v>22</v>
      </c>
      <c r="D22" s="206"/>
      <c r="E22" s="206"/>
      <c r="F22" s="206"/>
      <c r="G22" s="206"/>
      <c r="H22" s="206"/>
      <c r="I22" s="206"/>
      <c r="J22" s="206"/>
      <c r="Q22" s="166"/>
    </row>
    <row r="23" spans="1:17" x14ac:dyDescent="0.3">
      <c r="A23" s="219" t="s">
        <v>2</v>
      </c>
      <c r="B23" s="206"/>
      <c r="C23" s="206"/>
      <c r="D23" s="206"/>
      <c r="E23" s="206"/>
      <c r="F23" s="206"/>
      <c r="G23" s="206"/>
      <c r="H23" s="206"/>
      <c r="I23" s="206"/>
      <c r="J23" s="206"/>
      <c r="Q23" s="166"/>
    </row>
    <row r="24" spans="1:17" x14ac:dyDescent="0.3">
      <c r="A24" s="219" t="s">
        <v>3</v>
      </c>
      <c r="B24" s="220" t="s">
        <v>60</v>
      </c>
      <c r="C24" s="221" t="s">
        <v>4</v>
      </c>
      <c r="D24" s="220" t="s">
        <v>62</v>
      </c>
      <c r="E24" s="224" t="s">
        <v>56</v>
      </c>
      <c r="F24" s="224"/>
      <c r="G24" s="221" t="s">
        <v>76</v>
      </c>
      <c r="H24" s="207"/>
      <c r="I24" s="207"/>
      <c r="K24" s="156"/>
      <c r="Q24" s="166"/>
    </row>
    <row r="25" spans="1:17" x14ac:dyDescent="0.3">
      <c r="A25" s="219" t="s">
        <v>23</v>
      </c>
      <c r="B25" s="221"/>
      <c r="C25" s="206"/>
      <c r="D25" s="206"/>
      <c r="E25" s="206"/>
      <c r="F25" s="206"/>
      <c r="G25" s="206"/>
      <c r="H25" s="206"/>
      <c r="I25" s="206"/>
      <c r="J25" s="206"/>
      <c r="Q25" s="166"/>
    </row>
    <row r="26" spans="1:17" ht="15" thickBot="1" x14ac:dyDescent="0.35">
      <c r="A26" s="205"/>
      <c r="B26" s="208" t="s">
        <v>160</v>
      </c>
      <c r="C26" s="206"/>
      <c r="D26" s="206"/>
      <c r="E26" s="206"/>
      <c r="F26" s="206"/>
      <c r="G26" s="206"/>
      <c r="H26" s="206"/>
      <c r="I26" s="206"/>
      <c r="J26" s="206"/>
      <c r="Q26" s="166"/>
    </row>
    <row r="27" spans="1:17" ht="63" thickBot="1" x14ac:dyDescent="0.35">
      <c r="A27" s="168" t="s">
        <v>147</v>
      </c>
      <c r="B27" s="169">
        <v>250</v>
      </c>
      <c r="C27" s="207"/>
      <c r="D27" s="206"/>
      <c r="E27" s="206"/>
      <c r="F27" s="206"/>
      <c r="G27" s="206"/>
      <c r="H27" s="206"/>
      <c r="I27" s="206"/>
      <c r="J27" s="206"/>
      <c r="Q27" s="166"/>
    </row>
    <row r="28" spans="1:17" x14ac:dyDescent="0.3">
      <c r="A28" s="170"/>
      <c r="B28" s="165"/>
      <c r="C28" s="165"/>
      <c r="D28" s="165"/>
      <c r="E28" s="165"/>
      <c r="F28" s="165"/>
      <c r="G28" s="165"/>
      <c r="H28" s="165"/>
      <c r="I28" s="165"/>
      <c r="Q28" s="166"/>
    </row>
    <row r="29" spans="1:17" ht="15" thickBot="1" x14ac:dyDescent="0.35">
      <c r="A29" s="171" t="s">
        <v>140</v>
      </c>
      <c r="B29" s="165"/>
      <c r="C29" s="165"/>
      <c r="D29" s="165"/>
      <c r="E29" s="165"/>
      <c r="F29" s="165"/>
      <c r="G29" s="165"/>
      <c r="H29" s="165"/>
      <c r="I29" s="165"/>
      <c r="Q29" s="166"/>
    </row>
    <row r="30" spans="1:17" ht="130.19999999999999" customHeight="1" x14ac:dyDescent="0.3">
      <c r="A30" s="211" t="s">
        <v>135</v>
      </c>
      <c r="B30" s="212" t="s">
        <v>136</v>
      </c>
      <c r="C30" s="213" t="s">
        <v>157</v>
      </c>
      <c r="D30" s="213" t="s">
        <v>159</v>
      </c>
      <c r="E30" s="213" t="s">
        <v>161</v>
      </c>
      <c r="F30" s="172" t="s">
        <v>142</v>
      </c>
      <c r="G30" s="172" t="s">
        <v>215</v>
      </c>
      <c r="H30" s="172" t="s">
        <v>148</v>
      </c>
      <c r="I30" s="215" t="s">
        <v>216</v>
      </c>
      <c r="J30" s="173" t="s">
        <v>17</v>
      </c>
      <c r="K30" s="174" t="s">
        <v>171</v>
      </c>
      <c r="L30" s="175" t="s">
        <v>172</v>
      </c>
      <c r="M30" s="175" t="s">
        <v>162</v>
      </c>
      <c r="N30" s="175" t="s">
        <v>163</v>
      </c>
      <c r="O30" s="175" t="s">
        <v>164</v>
      </c>
      <c r="P30" s="175" t="s">
        <v>165</v>
      </c>
      <c r="Q30" s="173" t="s">
        <v>173</v>
      </c>
    </row>
    <row r="31" spans="1:17" ht="28.8" x14ac:dyDescent="0.3">
      <c r="A31" s="176">
        <v>1</v>
      </c>
      <c r="B31" s="177">
        <v>1</v>
      </c>
      <c r="C31" s="178"/>
      <c r="D31" s="179" t="s">
        <v>121</v>
      </c>
      <c r="E31" s="180" t="s">
        <v>41</v>
      </c>
      <c r="F31" s="214" t="s">
        <v>187</v>
      </c>
      <c r="G31" s="177">
        <f>B27*(67.9999/100)</f>
        <v>169.99975000000001</v>
      </c>
      <c r="H31" s="177">
        <f>B27*(67.9999/100)*1000</f>
        <v>169999.75</v>
      </c>
      <c r="I31" s="216">
        <v>2.5</v>
      </c>
      <c r="J31" s="181">
        <f>G31*I31</f>
        <v>424.99937499999999</v>
      </c>
      <c r="K31" s="182"/>
      <c r="L31" s="183"/>
      <c r="M31" s="183" t="e">
        <f>(F31*45)/100</f>
        <v>#VALUE!</v>
      </c>
      <c r="N31" s="183" t="e">
        <f>(F31*45)/100</f>
        <v>#VALUE!</v>
      </c>
      <c r="O31" s="183" t="e">
        <f>(F31*45)/100</f>
        <v>#VALUE!</v>
      </c>
      <c r="P31" s="183" t="e">
        <f>(F31*45)/100</f>
        <v>#VALUE!</v>
      </c>
      <c r="Q31" s="181"/>
    </row>
    <row r="32" spans="1:17" ht="28.8" x14ac:dyDescent="0.3">
      <c r="A32" s="176">
        <v>2</v>
      </c>
      <c r="B32" s="177">
        <v>1</v>
      </c>
      <c r="C32" s="184"/>
      <c r="D32" s="179" t="s">
        <v>26</v>
      </c>
      <c r="E32" s="180" t="s">
        <v>97</v>
      </c>
      <c r="F32" s="185">
        <v>1</v>
      </c>
      <c r="G32" s="177">
        <f>B27*(F32/100)</f>
        <v>2.5</v>
      </c>
      <c r="H32" s="177">
        <f>B27*(G32/100)*1000</f>
        <v>6250</v>
      </c>
      <c r="I32" s="216">
        <v>800</v>
      </c>
      <c r="J32" s="181">
        <f>G32*I32</f>
        <v>2000</v>
      </c>
      <c r="K32" s="182"/>
      <c r="L32" s="183"/>
      <c r="M32" s="183">
        <f>(F32*45)/100</f>
        <v>0.45</v>
      </c>
      <c r="N32" s="183">
        <f>(F32*45)/100</f>
        <v>0.45</v>
      </c>
      <c r="O32" s="183">
        <f>(F32*45)/100</f>
        <v>0.45</v>
      </c>
      <c r="P32" s="183">
        <f>(F32*45)/100</f>
        <v>0.45</v>
      </c>
      <c r="Q32" s="181"/>
    </row>
    <row r="33" spans="1:17" s="275" customFormat="1" ht="43.2" x14ac:dyDescent="0.3">
      <c r="A33" s="266">
        <v>3</v>
      </c>
      <c r="B33" s="267">
        <v>1</v>
      </c>
      <c r="C33" s="268"/>
      <c r="D33" s="269" t="s">
        <v>42</v>
      </c>
      <c r="E33" s="270" t="s">
        <v>134</v>
      </c>
      <c r="F33" s="271">
        <v>20</v>
      </c>
      <c r="G33" s="267">
        <f>B27*(F33/100)</f>
        <v>50</v>
      </c>
      <c r="H33" s="267">
        <f>B27*(F33/100)*1000</f>
        <v>50000</v>
      </c>
      <c r="I33" s="272">
        <v>500</v>
      </c>
      <c r="J33" s="273">
        <f>G33*I33</f>
        <v>25000</v>
      </c>
      <c r="K33" s="274"/>
      <c r="L33" s="272"/>
      <c r="M33" s="272">
        <f>(F33*45)/100</f>
        <v>9</v>
      </c>
      <c r="N33" s="272">
        <f t="shared" ref="N33:N36" si="0">(F33*45)/100</f>
        <v>9</v>
      </c>
      <c r="O33" s="272">
        <f t="shared" ref="O33:O36" si="1">(F33*45)/100</f>
        <v>9</v>
      </c>
      <c r="P33" s="272">
        <f t="shared" ref="P33:P36" si="2">(F33*45)/100</f>
        <v>9</v>
      </c>
      <c r="Q33" s="273"/>
    </row>
    <row r="34" spans="1:17" ht="43.2" x14ac:dyDescent="0.3">
      <c r="A34" s="176">
        <v>4</v>
      </c>
      <c r="B34" s="177">
        <v>2</v>
      </c>
      <c r="C34" s="184"/>
      <c r="D34" s="179" t="s">
        <v>143</v>
      </c>
      <c r="E34" s="180" t="s">
        <v>144</v>
      </c>
      <c r="F34" s="179">
        <v>1E-4</v>
      </c>
      <c r="G34" s="177">
        <f>B27*(F34/100)</f>
        <v>2.5000000000000001E-4</v>
      </c>
      <c r="H34" s="177">
        <f>B27*(G34/100)*1000</f>
        <v>0.625</v>
      </c>
      <c r="I34" s="216">
        <v>15</v>
      </c>
      <c r="J34" s="181">
        <f t="shared" ref="J33:J36" si="3">G34*I34</f>
        <v>3.7499999999999999E-3</v>
      </c>
      <c r="K34" s="182"/>
      <c r="L34" s="183"/>
      <c r="M34" s="183">
        <f>(F34*45)/100</f>
        <v>4.5000000000000003E-5</v>
      </c>
      <c r="N34" s="183">
        <f t="shared" si="0"/>
        <v>4.5000000000000003E-5</v>
      </c>
      <c r="O34" s="183">
        <f t="shared" si="1"/>
        <v>4.5000000000000003E-5</v>
      </c>
      <c r="P34" s="183">
        <f t="shared" si="2"/>
        <v>4.5000000000000003E-5</v>
      </c>
      <c r="Q34" s="181"/>
    </row>
    <row r="35" spans="1:17" ht="28.8" x14ac:dyDescent="0.3">
      <c r="A35" s="176">
        <v>5</v>
      </c>
      <c r="B35" s="177">
        <v>2</v>
      </c>
      <c r="C35" s="184"/>
      <c r="D35" s="179" t="s">
        <v>48</v>
      </c>
      <c r="E35" s="180" t="s">
        <v>145</v>
      </c>
      <c r="F35" s="185">
        <v>1</v>
      </c>
      <c r="G35" s="177">
        <f>B27*(F35/100)</f>
        <v>2.5</v>
      </c>
      <c r="H35" s="177">
        <f>B27*(G35/100)*1000</f>
        <v>6250</v>
      </c>
      <c r="I35" s="216">
        <v>25</v>
      </c>
      <c r="J35" s="181">
        <f t="shared" si="3"/>
        <v>62.5</v>
      </c>
      <c r="K35" s="182"/>
      <c r="L35" s="183"/>
      <c r="M35" s="183">
        <f t="shared" ref="M32:M36" si="4">(F35*45)/100</f>
        <v>0.45</v>
      </c>
      <c r="N35" s="183">
        <f t="shared" si="0"/>
        <v>0.45</v>
      </c>
      <c r="O35" s="183">
        <f t="shared" si="1"/>
        <v>0.45</v>
      </c>
      <c r="P35" s="183">
        <f t="shared" si="2"/>
        <v>0.45</v>
      </c>
      <c r="Q35" s="181"/>
    </row>
    <row r="36" spans="1:17" ht="15" thickBot="1" x14ac:dyDescent="0.35">
      <c r="A36" s="186">
        <v>6</v>
      </c>
      <c r="B36" s="187">
        <v>3</v>
      </c>
      <c r="C36" s="188"/>
      <c r="D36" s="189" t="s">
        <v>146</v>
      </c>
      <c r="E36" s="189" t="s">
        <v>146</v>
      </c>
      <c r="F36" s="190">
        <v>10</v>
      </c>
      <c r="G36" s="177">
        <f>B27*(F36/100)</f>
        <v>25</v>
      </c>
      <c r="H36" s="177">
        <f>B27*(G36/100)*1000</f>
        <v>62500</v>
      </c>
      <c r="I36" s="217">
        <v>7.5</v>
      </c>
      <c r="J36" s="181">
        <f t="shared" si="3"/>
        <v>187.5</v>
      </c>
      <c r="K36" s="192"/>
      <c r="L36" s="193"/>
      <c r="M36" s="183">
        <f t="shared" si="4"/>
        <v>4.5</v>
      </c>
      <c r="N36" s="183">
        <f t="shared" si="0"/>
        <v>4.5</v>
      </c>
      <c r="O36" s="183">
        <f t="shared" si="1"/>
        <v>4.5</v>
      </c>
      <c r="P36" s="183">
        <f t="shared" si="2"/>
        <v>4.5</v>
      </c>
      <c r="Q36" s="191"/>
    </row>
    <row r="37" spans="1:17" ht="72.599999999999994" thickBot="1" x14ac:dyDescent="0.35">
      <c r="A37" s="170"/>
      <c r="B37" s="165"/>
      <c r="C37" s="165"/>
      <c r="D37" s="165"/>
      <c r="E37" s="165"/>
      <c r="F37" s="194" t="s">
        <v>149</v>
      </c>
      <c r="G37" s="195" t="s">
        <v>207</v>
      </c>
      <c r="H37" s="218"/>
      <c r="I37" s="218"/>
      <c r="J37" s="196" t="s">
        <v>170</v>
      </c>
      <c r="K37" s="156"/>
      <c r="M37" s="197" t="s">
        <v>166</v>
      </c>
      <c r="N37" s="197" t="s">
        <v>168</v>
      </c>
      <c r="O37" s="197" t="s">
        <v>167</v>
      </c>
      <c r="P37" s="197" t="s">
        <v>169</v>
      </c>
      <c r="Q37" s="166"/>
    </row>
    <row r="38" spans="1:17" x14ac:dyDescent="0.3">
      <c r="A38" s="170"/>
      <c r="B38" s="165"/>
      <c r="C38" s="165"/>
      <c r="D38" s="165"/>
      <c r="E38" s="165"/>
      <c r="F38" s="167"/>
      <c r="G38" s="167"/>
      <c r="H38" s="167"/>
      <c r="I38" s="167"/>
      <c r="J38" s="156"/>
      <c r="Q38" s="166"/>
    </row>
    <row r="39" spans="1:17" x14ac:dyDescent="0.3">
      <c r="A39" s="170"/>
      <c r="B39" s="165"/>
      <c r="C39" s="165"/>
      <c r="D39" s="165"/>
      <c r="E39" s="165"/>
      <c r="F39" s="167"/>
      <c r="G39" s="167"/>
      <c r="H39" s="167"/>
      <c r="I39" s="167"/>
      <c r="J39" s="156"/>
      <c r="Q39" s="166"/>
    </row>
    <row r="40" spans="1:17" ht="15" thickBot="1" x14ac:dyDescent="0.35">
      <c r="A40" s="170"/>
      <c r="B40" s="165"/>
      <c r="C40" s="165"/>
      <c r="D40" s="165"/>
      <c r="E40" s="165"/>
      <c r="F40" s="167"/>
      <c r="G40" s="167"/>
      <c r="H40" s="167"/>
      <c r="I40" s="167"/>
      <c r="J40" s="156"/>
      <c r="Q40" s="166"/>
    </row>
    <row r="41" spans="1:17" x14ac:dyDescent="0.3">
      <c r="A41" s="225" t="s">
        <v>132</v>
      </c>
      <c r="B41" s="226"/>
      <c r="C41" s="226"/>
      <c r="D41" s="162"/>
      <c r="E41" s="162"/>
      <c r="F41" s="162"/>
      <c r="G41" s="162"/>
      <c r="H41" s="162"/>
      <c r="I41" s="162"/>
      <c r="J41" s="163"/>
      <c r="K41" s="163"/>
      <c r="L41" s="163"/>
      <c r="M41" s="163"/>
      <c r="N41" s="163"/>
      <c r="O41" s="163"/>
      <c r="P41" s="163"/>
      <c r="Q41" s="164"/>
    </row>
    <row r="42" spans="1:17" ht="23.55" customHeight="1" x14ac:dyDescent="0.3">
      <c r="A42" s="227" t="s">
        <v>18</v>
      </c>
      <c r="B42" s="228"/>
      <c r="C42" s="228"/>
      <c r="D42" s="165"/>
      <c r="E42" s="165"/>
      <c r="F42" s="165"/>
      <c r="G42" s="165"/>
      <c r="H42" s="165"/>
      <c r="I42" s="165"/>
      <c r="J42" s="159"/>
      <c r="Q42" s="166"/>
    </row>
    <row r="43" spans="1:17" ht="26.55" customHeight="1" x14ac:dyDescent="0.3">
      <c r="A43" s="227" t="s">
        <v>19</v>
      </c>
      <c r="B43" s="228"/>
      <c r="C43" s="228"/>
      <c r="D43" s="165"/>
      <c r="E43" s="165"/>
      <c r="F43" s="165"/>
      <c r="G43" s="165"/>
      <c r="H43" s="165"/>
      <c r="I43" s="165"/>
      <c r="Q43" s="166"/>
    </row>
    <row r="44" spans="1:17" ht="22.5" customHeight="1" thickBot="1" x14ac:dyDescent="0.35">
      <c r="A44" s="229" t="s">
        <v>20</v>
      </c>
      <c r="B44" s="230"/>
      <c r="C44" s="230"/>
      <c r="D44" s="198"/>
      <c r="E44" s="198"/>
      <c r="F44" s="198"/>
      <c r="G44" s="198"/>
      <c r="H44" s="198"/>
      <c r="I44" s="198"/>
      <c r="J44" s="199"/>
      <c r="K44" s="199"/>
      <c r="L44" s="199"/>
      <c r="M44" s="199"/>
      <c r="N44" s="199"/>
      <c r="O44" s="199"/>
      <c r="P44" s="199"/>
      <c r="Q44" s="200"/>
    </row>
    <row r="45" spans="1:17" ht="100.05" customHeight="1" thickBot="1" x14ac:dyDescent="0.35">
      <c r="A45" s="222" t="s">
        <v>133</v>
      </c>
      <c r="B45" s="223"/>
      <c r="C45" s="201"/>
      <c r="D45" s="201"/>
      <c r="E45" s="201"/>
      <c r="F45" s="201"/>
      <c r="G45" s="201"/>
      <c r="H45" s="201"/>
      <c r="I45" s="201"/>
      <c r="J45" s="202"/>
      <c r="K45" s="202"/>
      <c r="L45" s="202"/>
      <c r="M45" s="202"/>
      <c r="N45" s="202"/>
      <c r="O45" s="202"/>
      <c r="P45" s="202"/>
      <c r="Q45" s="203"/>
    </row>
    <row r="47" spans="1:17" x14ac:dyDescent="0.3">
      <c r="A47" s="204" t="s">
        <v>206</v>
      </c>
    </row>
  </sheetData>
  <mergeCells count="6">
    <mergeCell ref="A45:B45"/>
    <mergeCell ref="E24:F24"/>
    <mergeCell ref="A41:C41"/>
    <mergeCell ref="A42:C42"/>
    <mergeCell ref="A43:C43"/>
    <mergeCell ref="A44:C44"/>
  </mergeCells>
  <phoneticPr fontId="2" type="noConversion"/>
  <pageMargins left="0.7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8206-C6B3-47F6-AA7F-52E0E2DA43C0}">
  <sheetPr>
    <pageSetUpPr fitToPage="1"/>
  </sheetPr>
  <dimension ref="A1:M95"/>
  <sheetViews>
    <sheetView topLeftCell="A13" zoomScaleNormal="100" workbookViewId="0">
      <selection activeCell="D46" sqref="D46"/>
    </sheetView>
  </sheetViews>
  <sheetFormatPr defaultRowHeight="14.4" x14ac:dyDescent="0.3"/>
  <cols>
    <col min="2" max="2" width="19" customWidth="1"/>
    <col min="3" max="3" width="23.88671875" customWidth="1"/>
    <col min="4" max="5" width="30.109375" customWidth="1"/>
    <col min="6" max="6" width="31.6640625" customWidth="1"/>
    <col min="7" max="7" width="19.77734375" customWidth="1"/>
    <col min="8" max="8" width="23.88671875" customWidth="1"/>
    <col min="9" max="9" width="29.77734375" customWidth="1"/>
    <col min="10" max="10" width="29.33203125" customWidth="1"/>
    <col min="11" max="11" width="20.109375" customWidth="1"/>
    <col min="12" max="12" width="25.21875" customWidth="1"/>
    <col min="13" max="13" width="25.33203125" customWidth="1"/>
  </cols>
  <sheetData>
    <row r="1" spans="1:11" x14ac:dyDescent="0.3">
      <c r="A1" s="3" t="s">
        <v>33</v>
      </c>
      <c r="B1" s="3"/>
      <c r="C1" s="3"/>
      <c r="D1" s="3"/>
      <c r="E1" s="3"/>
    </row>
    <row r="2" spans="1:11" x14ac:dyDescent="0.3">
      <c r="A2" s="86" t="s">
        <v>151</v>
      </c>
    </row>
    <row r="3" spans="1:11" x14ac:dyDescent="0.3">
      <c r="A3" s="86"/>
    </row>
    <row r="4" spans="1:11" ht="15" thickBot="1" x14ac:dyDescent="0.35"/>
    <row r="5" spans="1:11" ht="15" thickBot="1" x14ac:dyDescent="0.35">
      <c r="B5" s="16" t="s">
        <v>57</v>
      </c>
      <c r="C5" s="15" t="s">
        <v>154</v>
      </c>
      <c r="D5" s="95" t="s">
        <v>153</v>
      </c>
      <c r="E5" s="92"/>
    </row>
    <row r="6" spans="1:11" ht="15" thickBot="1" x14ac:dyDescent="0.35">
      <c r="B6" s="35" t="s">
        <v>61</v>
      </c>
      <c r="C6" s="94" t="s">
        <v>25</v>
      </c>
      <c r="D6" s="93">
        <v>1</v>
      </c>
    </row>
    <row r="7" spans="1:11" ht="58.2" thickBot="1" x14ac:dyDescent="0.35">
      <c r="B7" s="10"/>
      <c r="C7" s="96" t="s">
        <v>155</v>
      </c>
      <c r="D7" s="46" t="s">
        <v>174</v>
      </c>
      <c r="E7" s="44" t="s">
        <v>152</v>
      </c>
    </row>
    <row r="8" spans="1:11" x14ac:dyDescent="0.3">
      <c r="B8" s="10"/>
      <c r="C8" s="97" t="s">
        <v>36</v>
      </c>
      <c r="D8" s="100">
        <v>50</v>
      </c>
      <c r="E8" s="48" t="s">
        <v>175</v>
      </c>
    </row>
    <row r="9" spans="1:11" x14ac:dyDescent="0.3">
      <c r="B9" s="10"/>
      <c r="C9" s="73" t="s">
        <v>37</v>
      </c>
      <c r="D9" s="98">
        <v>48</v>
      </c>
      <c r="E9" s="36" t="s">
        <v>176</v>
      </c>
    </row>
    <row r="10" spans="1:11" x14ac:dyDescent="0.3">
      <c r="B10" s="10"/>
      <c r="C10" s="73" t="s">
        <v>39</v>
      </c>
      <c r="D10" s="98">
        <v>1</v>
      </c>
      <c r="E10" s="36" t="s">
        <v>177</v>
      </c>
    </row>
    <row r="11" spans="1:11" ht="15" thickBot="1" x14ac:dyDescent="0.35">
      <c r="B11" s="18"/>
      <c r="C11" s="74" t="s">
        <v>38</v>
      </c>
      <c r="D11" s="99">
        <v>1</v>
      </c>
      <c r="E11" s="113" t="s">
        <v>189</v>
      </c>
    </row>
    <row r="14" spans="1:11" ht="15" thickBot="1" x14ac:dyDescent="0.35"/>
    <row r="15" spans="1:11" x14ac:dyDescent="0.3">
      <c r="B15" s="101" t="s">
        <v>82</v>
      </c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B16" s="112" t="s">
        <v>188</v>
      </c>
    </row>
    <row r="17" spans="2:13" ht="15" thickBot="1" x14ac:dyDescent="0.35">
      <c r="B17" s="10"/>
    </row>
    <row r="18" spans="2:13" ht="101.4" thickBot="1" x14ac:dyDescent="0.35">
      <c r="B18" s="109" t="s">
        <v>191</v>
      </c>
      <c r="C18" s="110" t="s">
        <v>190</v>
      </c>
      <c r="D18" s="102" t="s">
        <v>192</v>
      </c>
      <c r="E18" s="102" t="s">
        <v>193</v>
      </c>
      <c r="F18" s="110" t="s">
        <v>194</v>
      </c>
      <c r="G18" s="111" t="s">
        <v>195</v>
      </c>
      <c r="I18" s="21" t="s">
        <v>40</v>
      </c>
      <c r="J18" s="34" t="s">
        <v>35</v>
      </c>
      <c r="K18" s="3"/>
      <c r="L18" s="135" t="s">
        <v>196</v>
      </c>
      <c r="M18" s="34" t="s">
        <v>35</v>
      </c>
    </row>
    <row r="19" spans="2:13" ht="15" thickBot="1" x14ac:dyDescent="0.35">
      <c r="B19" s="106">
        <v>67.999899999999997</v>
      </c>
      <c r="C19" s="107" t="s">
        <v>41</v>
      </c>
      <c r="D19" s="125" t="s">
        <v>41</v>
      </c>
      <c r="E19" s="107"/>
      <c r="F19" s="115">
        <v>100</v>
      </c>
      <c r="G19" s="119">
        <f>B19*F19/100</f>
        <v>67.999899999999997</v>
      </c>
      <c r="I19" s="131" t="s">
        <v>121</v>
      </c>
      <c r="J19" s="132">
        <v>67.999899999999997</v>
      </c>
      <c r="L19" s="136" t="s">
        <v>121</v>
      </c>
      <c r="M19" s="83">
        <v>67.999899999999997</v>
      </c>
    </row>
    <row r="20" spans="2:13" x14ac:dyDescent="0.3">
      <c r="B20" s="248">
        <v>1</v>
      </c>
      <c r="C20" s="231" t="s">
        <v>25</v>
      </c>
      <c r="D20" s="126" t="s">
        <v>36</v>
      </c>
      <c r="E20" s="51" t="s">
        <v>175</v>
      </c>
      <c r="F20" s="116">
        <v>50</v>
      </c>
      <c r="G20" s="120">
        <f>B20*F20/100</f>
        <v>0.5</v>
      </c>
      <c r="I20" s="131" t="s">
        <v>36</v>
      </c>
      <c r="J20" s="132">
        <v>0.5</v>
      </c>
      <c r="L20" s="35" t="s">
        <v>36</v>
      </c>
      <c r="M20" s="5">
        <v>0.5</v>
      </c>
    </row>
    <row r="21" spans="2:13" x14ac:dyDescent="0.3">
      <c r="B21" s="262"/>
      <c r="C21" s="261"/>
      <c r="D21" s="127" t="s">
        <v>121</v>
      </c>
      <c r="E21" s="32" t="s">
        <v>176</v>
      </c>
      <c r="F21" s="117">
        <v>48</v>
      </c>
      <c r="G21" s="121">
        <f>B20*F21/100</f>
        <v>0.48</v>
      </c>
      <c r="I21" s="131" t="s">
        <v>121</v>
      </c>
      <c r="J21" s="132">
        <v>0.48</v>
      </c>
      <c r="L21" s="136" t="s">
        <v>121</v>
      </c>
      <c r="M21" s="83">
        <v>0.48</v>
      </c>
    </row>
    <row r="22" spans="2:13" x14ac:dyDescent="0.3">
      <c r="B22" s="262"/>
      <c r="C22" s="261"/>
      <c r="D22" s="127" t="s">
        <v>39</v>
      </c>
      <c r="E22" s="32" t="s">
        <v>177</v>
      </c>
      <c r="F22" s="117">
        <v>1</v>
      </c>
      <c r="G22" s="121">
        <f>B20*F22/100</f>
        <v>0.01</v>
      </c>
      <c r="I22" s="131" t="s">
        <v>39</v>
      </c>
      <c r="J22" s="132">
        <v>0.01</v>
      </c>
      <c r="L22" s="35" t="s">
        <v>39</v>
      </c>
      <c r="M22" s="5">
        <v>0.01</v>
      </c>
    </row>
    <row r="23" spans="2:13" ht="15" thickBot="1" x14ac:dyDescent="0.35">
      <c r="B23" s="249"/>
      <c r="C23" s="246"/>
      <c r="D23" s="128" t="s">
        <v>38</v>
      </c>
      <c r="E23" s="114" t="s">
        <v>189</v>
      </c>
      <c r="F23" s="118">
        <v>1</v>
      </c>
      <c r="G23" s="122">
        <f>B20*F23/100</f>
        <v>0.01</v>
      </c>
      <c r="I23" s="131" t="s">
        <v>38</v>
      </c>
      <c r="J23" s="132">
        <v>0.01</v>
      </c>
      <c r="L23" s="35" t="s">
        <v>38</v>
      </c>
      <c r="M23" s="5">
        <v>0.01</v>
      </c>
    </row>
    <row r="24" spans="2:13" ht="14.55" customHeight="1" x14ac:dyDescent="0.3">
      <c r="B24" s="263">
        <v>20</v>
      </c>
      <c r="C24" s="240" t="s">
        <v>42</v>
      </c>
      <c r="D24" s="126" t="s">
        <v>43</v>
      </c>
      <c r="E24" s="105" t="s">
        <v>178</v>
      </c>
      <c r="F24" s="116">
        <v>25</v>
      </c>
      <c r="G24" s="120">
        <f>B24*F24/100</f>
        <v>5</v>
      </c>
      <c r="I24" s="131" t="s">
        <v>43</v>
      </c>
      <c r="J24" s="132">
        <v>5</v>
      </c>
      <c r="L24" s="35" t="s">
        <v>43</v>
      </c>
      <c r="M24" s="5">
        <v>5</v>
      </c>
    </row>
    <row r="25" spans="2:13" x14ac:dyDescent="0.3">
      <c r="B25" s="264"/>
      <c r="C25" s="241"/>
      <c r="D25" s="127" t="s">
        <v>45</v>
      </c>
      <c r="E25" s="2" t="s">
        <v>176</v>
      </c>
      <c r="F25" s="117">
        <v>25</v>
      </c>
      <c r="G25" s="121">
        <f>B24*F25/100</f>
        <v>5</v>
      </c>
      <c r="I25" s="131" t="s">
        <v>197</v>
      </c>
      <c r="J25" s="132">
        <v>5</v>
      </c>
      <c r="L25" s="136" t="s">
        <v>197</v>
      </c>
      <c r="M25" s="83">
        <v>5</v>
      </c>
    </row>
    <row r="26" spans="2:13" x14ac:dyDescent="0.3">
      <c r="B26" s="264"/>
      <c r="C26" s="241"/>
      <c r="D26" s="127" t="s">
        <v>44</v>
      </c>
      <c r="E26" s="2" t="s">
        <v>179</v>
      </c>
      <c r="F26" s="117">
        <v>30</v>
      </c>
      <c r="G26" s="121">
        <f>B24*F26/100</f>
        <v>6</v>
      </c>
      <c r="I26" s="131" t="s">
        <v>44</v>
      </c>
      <c r="J26" s="132">
        <v>6</v>
      </c>
      <c r="L26" s="35" t="s">
        <v>44</v>
      </c>
      <c r="M26" s="5">
        <v>6</v>
      </c>
    </row>
    <row r="27" spans="2:13" ht="15" thickBot="1" x14ac:dyDescent="0.35">
      <c r="B27" s="265"/>
      <c r="C27" s="242"/>
      <c r="D27" s="128" t="s">
        <v>46</v>
      </c>
      <c r="E27" s="14" t="s">
        <v>180</v>
      </c>
      <c r="F27" s="118">
        <v>20</v>
      </c>
      <c r="G27" s="122">
        <f>B24*F27/100</f>
        <v>4</v>
      </c>
      <c r="I27" s="131" t="s">
        <v>46</v>
      </c>
      <c r="J27" s="132">
        <v>4</v>
      </c>
      <c r="L27" s="35" t="s">
        <v>46</v>
      </c>
      <c r="M27" s="5">
        <v>4</v>
      </c>
    </row>
    <row r="28" spans="2:13" ht="28.95" customHeight="1" thickBot="1" x14ac:dyDescent="0.35">
      <c r="B28" s="248">
        <v>1E-4</v>
      </c>
      <c r="C28" s="240" t="s">
        <v>47</v>
      </c>
      <c r="D28" s="126" t="s">
        <v>49</v>
      </c>
      <c r="E28" s="105" t="s">
        <v>181</v>
      </c>
      <c r="F28" s="116">
        <v>50</v>
      </c>
      <c r="G28" s="122">
        <f>B28*F28/100</f>
        <v>5.0000000000000002E-5</v>
      </c>
      <c r="I28" s="131" t="s">
        <v>49</v>
      </c>
      <c r="J28" s="132">
        <v>5.0000000000000002E-5</v>
      </c>
      <c r="L28" s="35" t="s">
        <v>49</v>
      </c>
      <c r="M28" s="5">
        <v>5.0000000000000002E-5</v>
      </c>
    </row>
    <row r="29" spans="2:13" ht="15" thickBot="1" x14ac:dyDescent="0.35">
      <c r="B29" s="262"/>
      <c r="C29" s="241"/>
      <c r="D29" s="127" t="s">
        <v>50</v>
      </c>
      <c r="E29" s="2" t="s">
        <v>182</v>
      </c>
      <c r="F29" s="117">
        <v>30</v>
      </c>
      <c r="G29" s="122">
        <f>B28*F29/100</f>
        <v>3.0000000000000001E-5</v>
      </c>
      <c r="I29" s="131" t="s">
        <v>50</v>
      </c>
      <c r="J29" s="132">
        <v>3.0000000000000001E-5</v>
      </c>
      <c r="L29" s="35" t="s">
        <v>50</v>
      </c>
      <c r="M29" s="5">
        <v>3.0000000000000001E-5</v>
      </c>
    </row>
    <row r="30" spans="2:13" ht="15" thickBot="1" x14ac:dyDescent="0.35">
      <c r="B30" s="249"/>
      <c r="C30" s="242"/>
      <c r="D30" s="128" t="s">
        <v>51</v>
      </c>
      <c r="E30" s="14" t="s">
        <v>183</v>
      </c>
      <c r="F30" s="118">
        <v>20</v>
      </c>
      <c r="G30" s="122">
        <f>B28*F30/100</f>
        <v>2.0000000000000002E-5</v>
      </c>
      <c r="I30" s="131" t="s">
        <v>51</v>
      </c>
      <c r="J30" s="132">
        <v>2.0000000000000002E-5</v>
      </c>
      <c r="L30" s="35" t="s">
        <v>51</v>
      </c>
      <c r="M30" s="5">
        <v>2.0000000000000002E-5</v>
      </c>
    </row>
    <row r="31" spans="2:13" x14ac:dyDescent="0.3">
      <c r="B31" s="248">
        <v>1</v>
      </c>
      <c r="C31" s="247" t="s">
        <v>48</v>
      </c>
      <c r="D31" s="129" t="s">
        <v>199</v>
      </c>
      <c r="E31" s="105" t="s">
        <v>184</v>
      </c>
      <c r="F31" s="103">
        <v>90</v>
      </c>
      <c r="G31" s="123">
        <v>0.9</v>
      </c>
      <c r="I31" s="131" t="s">
        <v>199</v>
      </c>
      <c r="J31" s="132">
        <v>0.9</v>
      </c>
      <c r="L31" s="35" t="s">
        <v>199</v>
      </c>
      <c r="M31" s="5">
        <v>0.9</v>
      </c>
    </row>
    <row r="32" spans="2:13" ht="15" thickBot="1" x14ac:dyDescent="0.35">
      <c r="B32" s="249"/>
      <c r="C32" s="233"/>
      <c r="D32" s="130" t="s">
        <v>53</v>
      </c>
      <c r="E32" s="14" t="s">
        <v>185</v>
      </c>
      <c r="F32" s="104">
        <v>10</v>
      </c>
      <c r="G32" s="124">
        <v>0.1</v>
      </c>
      <c r="I32" s="131" t="s">
        <v>53</v>
      </c>
      <c r="J32" s="132">
        <v>0.1</v>
      </c>
      <c r="L32" s="35" t="s">
        <v>53</v>
      </c>
      <c r="M32" s="5">
        <v>0.1</v>
      </c>
    </row>
    <row r="33" spans="2:13" ht="15" thickBot="1" x14ac:dyDescent="0.35">
      <c r="B33" s="106">
        <v>10</v>
      </c>
      <c r="C33" s="107" t="s">
        <v>54</v>
      </c>
      <c r="D33" s="125" t="s">
        <v>54</v>
      </c>
      <c r="E33" s="108" t="s">
        <v>186</v>
      </c>
      <c r="F33" s="115">
        <v>100</v>
      </c>
      <c r="G33" s="119">
        <v>10</v>
      </c>
      <c r="I33" s="133" t="s">
        <v>54</v>
      </c>
      <c r="J33" s="134">
        <v>10</v>
      </c>
      <c r="L33" s="138" t="s">
        <v>54</v>
      </c>
      <c r="M33" s="6">
        <v>10</v>
      </c>
    </row>
    <row r="34" spans="2:13" x14ac:dyDescent="0.3">
      <c r="B34" s="31"/>
    </row>
    <row r="35" spans="2:13" ht="15" thickBot="1" x14ac:dyDescent="0.35">
      <c r="B35" s="10"/>
    </row>
    <row r="36" spans="2:13" x14ac:dyDescent="0.3">
      <c r="B36" s="250" t="s">
        <v>200</v>
      </c>
      <c r="C36" s="251"/>
      <c r="D36" s="251"/>
      <c r="E36" s="251"/>
      <c r="F36" s="252"/>
      <c r="I36" s="137" t="s">
        <v>198</v>
      </c>
    </row>
    <row r="37" spans="2:13" x14ac:dyDescent="0.3">
      <c r="B37" s="253"/>
      <c r="C37" s="254"/>
      <c r="D37" s="254"/>
      <c r="E37" s="254"/>
      <c r="F37" s="255"/>
      <c r="I37" s="3" t="s">
        <v>40</v>
      </c>
      <c r="J37" s="3" t="s">
        <v>35</v>
      </c>
      <c r="L37" s="3" t="s">
        <v>40</v>
      </c>
      <c r="M37" s="3" t="s">
        <v>35</v>
      </c>
    </row>
    <row r="38" spans="2:13" x14ac:dyDescent="0.3">
      <c r="B38" s="253"/>
      <c r="C38" s="254"/>
      <c r="D38" s="254"/>
      <c r="E38" s="254"/>
      <c r="F38" s="255"/>
      <c r="I38" s="136" t="s">
        <v>121</v>
      </c>
      <c r="J38" s="83">
        <v>74.479900000000001</v>
      </c>
      <c r="L38" s="136" t="s">
        <v>121</v>
      </c>
      <c r="M38" s="83">
        <v>74.479900000000001</v>
      </c>
    </row>
    <row r="39" spans="2:13" x14ac:dyDescent="0.3">
      <c r="B39" s="253"/>
      <c r="C39" s="254"/>
      <c r="D39" s="254"/>
      <c r="E39" s="254"/>
      <c r="F39" s="255"/>
      <c r="I39" s="35" t="s">
        <v>54</v>
      </c>
      <c r="J39" s="5">
        <v>10</v>
      </c>
      <c r="L39" s="35" t="s">
        <v>36</v>
      </c>
      <c r="M39" s="5">
        <v>0.5</v>
      </c>
    </row>
    <row r="40" spans="2:13" x14ac:dyDescent="0.3">
      <c r="B40" s="253"/>
      <c r="C40" s="254"/>
      <c r="D40" s="254"/>
      <c r="E40" s="254"/>
      <c r="F40" s="255"/>
      <c r="I40" s="35" t="s">
        <v>44</v>
      </c>
      <c r="J40" s="5">
        <v>6</v>
      </c>
      <c r="L40" s="35"/>
      <c r="M40" s="5"/>
    </row>
    <row r="41" spans="2:13" ht="15" thickBot="1" x14ac:dyDescent="0.35">
      <c r="B41" s="256"/>
      <c r="C41" s="257"/>
      <c r="D41" s="257"/>
      <c r="E41" s="257"/>
      <c r="F41" s="258"/>
      <c r="I41" s="35" t="s">
        <v>43</v>
      </c>
      <c r="J41" s="5">
        <v>5</v>
      </c>
      <c r="L41" s="35" t="s">
        <v>39</v>
      </c>
      <c r="M41" s="5">
        <v>0.01</v>
      </c>
    </row>
    <row r="42" spans="2:13" x14ac:dyDescent="0.3">
      <c r="B42" s="39"/>
      <c r="C42" s="40"/>
      <c r="D42" s="40"/>
      <c r="E42" s="40"/>
      <c r="F42" s="40"/>
      <c r="I42" s="35" t="s">
        <v>46</v>
      </c>
      <c r="J42" s="5">
        <v>4</v>
      </c>
      <c r="L42" s="35" t="s">
        <v>38</v>
      </c>
      <c r="M42" s="5">
        <v>0.01</v>
      </c>
    </row>
    <row r="43" spans="2:13" x14ac:dyDescent="0.3">
      <c r="B43" s="39"/>
      <c r="C43" s="40"/>
      <c r="D43" s="40"/>
      <c r="E43" s="40"/>
      <c r="F43" s="40"/>
      <c r="I43" s="35" t="s">
        <v>199</v>
      </c>
      <c r="J43" s="5">
        <v>0.9</v>
      </c>
      <c r="L43" s="35" t="s">
        <v>43</v>
      </c>
      <c r="M43" s="5">
        <v>5</v>
      </c>
    </row>
    <row r="44" spans="2:13" x14ac:dyDescent="0.3">
      <c r="B44" s="39"/>
      <c r="C44" s="40"/>
      <c r="D44" s="40"/>
      <c r="E44" s="40"/>
      <c r="F44" s="40"/>
      <c r="G44" s="41"/>
      <c r="I44" s="35" t="s">
        <v>36</v>
      </c>
      <c r="J44" s="5">
        <v>0.5</v>
      </c>
      <c r="L44" s="35"/>
      <c r="M44" s="5"/>
    </row>
    <row r="45" spans="2:13" x14ac:dyDescent="0.3">
      <c r="B45" s="39"/>
      <c r="C45" s="40"/>
      <c r="D45" s="40"/>
      <c r="E45" s="40"/>
      <c r="F45" s="40"/>
      <c r="I45" s="35" t="s">
        <v>53</v>
      </c>
      <c r="J45" s="5">
        <v>0.1</v>
      </c>
      <c r="L45" s="35" t="s">
        <v>44</v>
      </c>
      <c r="M45" s="5">
        <v>6</v>
      </c>
    </row>
    <row r="46" spans="2:13" x14ac:dyDescent="0.3">
      <c r="B46" s="39"/>
      <c r="C46" s="40"/>
      <c r="D46" s="40"/>
      <c r="E46" s="40"/>
      <c r="F46" s="40"/>
      <c r="I46" s="35" t="s">
        <v>39</v>
      </c>
      <c r="J46" s="5">
        <v>0.01</v>
      </c>
      <c r="L46" s="35" t="s">
        <v>46</v>
      </c>
      <c r="M46" s="5">
        <v>4</v>
      </c>
    </row>
    <row r="47" spans="2:13" x14ac:dyDescent="0.3">
      <c r="B47" s="39"/>
      <c r="C47" s="40"/>
      <c r="D47" s="40"/>
      <c r="E47" s="40"/>
      <c r="F47" s="40"/>
      <c r="I47" s="35" t="s">
        <v>38</v>
      </c>
      <c r="J47" s="5">
        <v>0.01</v>
      </c>
      <c r="L47" s="35" t="s">
        <v>49</v>
      </c>
      <c r="M47" s="5">
        <v>5.0000000000000002E-5</v>
      </c>
    </row>
    <row r="48" spans="2:13" x14ac:dyDescent="0.3">
      <c r="B48" s="39"/>
      <c r="C48" s="40"/>
      <c r="D48" s="40"/>
      <c r="E48" s="40"/>
      <c r="F48" s="40"/>
      <c r="I48" s="35" t="s">
        <v>49</v>
      </c>
      <c r="J48" s="5">
        <v>5.0000000000000002E-5</v>
      </c>
      <c r="L48" s="35" t="s">
        <v>50</v>
      </c>
      <c r="M48" s="5">
        <v>3.0000000000000001E-5</v>
      </c>
    </row>
    <row r="49" spans="1:13" x14ac:dyDescent="0.3">
      <c r="B49" s="10"/>
      <c r="I49" s="35" t="s">
        <v>50</v>
      </c>
      <c r="J49" s="5">
        <v>3.0000000000000001E-5</v>
      </c>
      <c r="L49" s="35" t="s">
        <v>51</v>
      </c>
      <c r="M49" s="5">
        <v>2.0000000000000002E-5</v>
      </c>
    </row>
    <row r="50" spans="1:13" x14ac:dyDescent="0.3">
      <c r="B50" s="10"/>
      <c r="I50" s="35" t="s">
        <v>51</v>
      </c>
      <c r="J50" s="5">
        <v>2.0000000000000002E-5</v>
      </c>
      <c r="L50" s="35" t="s">
        <v>199</v>
      </c>
      <c r="M50" s="5">
        <v>0.9</v>
      </c>
    </row>
    <row r="51" spans="1:13" x14ac:dyDescent="0.3">
      <c r="B51" s="10"/>
      <c r="L51" s="35" t="s">
        <v>53</v>
      </c>
      <c r="M51" s="5">
        <v>0.1</v>
      </c>
    </row>
    <row r="52" spans="1:13" ht="15" thickBot="1" x14ac:dyDescent="0.35">
      <c r="B52" s="10"/>
      <c r="L52" s="138" t="s">
        <v>54</v>
      </c>
      <c r="M52" s="6">
        <v>10</v>
      </c>
    </row>
    <row r="53" spans="1:13" ht="15" thickBot="1" x14ac:dyDescent="0.35">
      <c r="B53" s="18"/>
      <c r="C53" s="19"/>
      <c r="D53" s="19"/>
      <c r="E53" s="19"/>
      <c r="F53" s="19"/>
      <c r="G53" s="19"/>
      <c r="H53" s="19"/>
      <c r="I53" s="19"/>
      <c r="J53" s="19"/>
      <c r="K53" s="19"/>
    </row>
    <row r="56" spans="1:13" x14ac:dyDescent="0.3">
      <c r="A56" s="259" t="s">
        <v>201</v>
      </c>
      <c r="B56" s="260"/>
      <c r="C56" s="260"/>
      <c r="D56" s="260"/>
      <c r="E56" s="260"/>
      <c r="F56" s="260"/>
    </row>
    <row r="57" spans="1:13" x14ac:dyDescent="0.3">
      <c r="A57" s="260"/>
      <c r="B57" s="260"/>
      <c r="C57" s="260"/>
      <c r="D57" s="260"/>
      <c r="E57" s="260"/>
      <c r="F57" s="260"/>
    </row>
    <row r="58" spans="1:13" x14ac:dyDescent="0.3">
      <c r="A58" s="260"/>
      <c r="B58" s="260"/>
      <c r="C58" s="260"/>
      <c r="D58" s="260"/>
      <c r="E58" s="260"/>
      <c r="F58" s="260"/>
    </row>
    <row r="59" spans="1:13" ht="162.44999999999999" customHeight="1" x14ac:dyDescent="0.3">
      <c r="A59" s="260"/>
      <c r="B59" s="260"/>
      <c r="C59" s="260"/>
      <c r="D59" s="260"/>
      <c r="E59" s="260"/>
      <c r="F59" s="260"/>
    </row>
    <row r="60" spans="1:13" x14ac:dyDescent="0.3">
      <c r="A60" s="23"/>
    </row>
    <row r="61" spans="1:13" ht="15" thickBot="1" x14ac:dyDescent="0.35"/>
    <row r="62" spans="1:13" x14ac:dyDescent="0.3">
      <c r="B62" s="33" t="s">
        <v>57</v>
      </c>
      <c r="C62" s="4" t="s">
        <v>58</v>
      </c>
      <c r="D62" s="17"/>
      <c r="E62" s="3"/>
    </row>
    <row r="63" spans="1:13" ht="15" thickBot="1" x14ac:dyDescent="0.35">
      <c r="B63" s="35" t="s">
        <v>83</v>
      </c>
      <c r="C63" s="45" t="s">
        <v>91</v>
      </c>
      <c r="D63" s="47"/>
    </row>
    <row r="64" spans="1:13" ht="15" thickBot="1" x14ac:dyDescent="0.35">
      <c r="B64" s="10"/>
      <c r="C64" s="46" t="s">
        <v>59</v>
      </c>
      <c r="D64" s="28" t="s">
        <v>0</v>
      </c>
      <c r="E64" s="87"/>
    </row>
    <row r="65" spans="2:7" x14ac:dyDescent="0.3">
      <c r="B65" s="10"/>
      <c r="C65" s="26" t="s">
        <v>55</v>
      </c>
      <c r="D65" s="48">
        <v>100</v>
      </c>
      <c r="E65" s="88"/>
    </row>
    <row r="66" spans="2:7" ht="15" thickBot="1" x14ac:dyDescent="0.35">
      <c r="B66" s="10"/>
      <c r="C66" s="45" t="s">
        <v>85</v>
      </c>
      <c r="D66" s="47"/>
    </row>
    <row r="67" spans="2:7" ht="15" thickBot="1" x14ac:dyDescent="0.35">
      <c r="B67" s="10"/>
      <c r="C67" s="46" t="s">
        <v>84</v>
      </c>
      <c r="D67" s="49" t="s">
        <v>89</v>
      </c>
      <c r="E67" s="88"/>
    </row>
    <row r="68" spans="2:7" x14ac:dyDescent="0.3">
      <c r="B68" s="10"/>
      <c r="C68" s="146" t="s">
        <v>86</v>
      </c>
      <c r="D68" s="147">
        <v>1</v>
      </c>
      <c r="E68" s="88"/>
    </row>
    <row r="69" spans="2:7" x14ac:dyDescent="0.3">
      <c r="B69" s="10"/>
      <c r="C69" s="148" t="s">
        <v>87</v>
      </c>
      <c r="D69" s="149">
        <v>9</v>
      </c>
      <c r="E69" s="88"/>
    </row>
    <row r="70" spans="2:7" ht="15" thickBot="1" x14ac:dyDescent="0.35">
      <c r="B70" s="18"/>
      <c r="C70" s="150" t="s">
        <v>88</v>
      </c>
      <c r="D70" s="151">
        <v>1.1000000000000001</v>
      </c>
      <c r="E70" s="88"/>
    </row>
    <row r="73" spans="2:7" x14ac:dyDescent="0.3">
      <c r="B73" s="3" t="s">
        <v>202</v>
      </c>
    </row>
    <row r="74" spans="2:7" ht="15" thickBot="1" x14ac:dyDescent="0.35"/>
    <row r="75" spans="2:7" ht="15" thickBot="1" x14ac:dyDescent="0.35">
      <c r="B75" s="56" t="s">
        <v>93</v>
      </c>
      <c r="C75" s="70" t="s">
        <v>94</v>
      </c>
    </row>
    <row r="76" spans="2:7" ht="29.4" thickBot="1" x14ac:dyDescent="0.35">
      <c r="B76" s="42" t="s">
        <v>77</v>
      </c>
      <c r="C76" s="27" t="s">
        <v>34</v>
      </c>
      <c r="D76" s="7" t="s">
        <v>40</v>
      </c>
      <c r="E76" s="7"/>
      <c r="F76" s="43" t="s">
        <v>78</v>
      </c>
      <c r="G76" s="44" t="s">
        <v>79</v>
      </c>
    </row>
    <row r="77" spans="2:7" ht="15" thickBot="1" x14ac:dyDescent="0.35">
      <c r="B77" s="145">
        <v>67.999899999999997</v>
      </c>
      <c r="C77" s="25" t="s">
        <v>41</v>
      </c>
      <c r="D77" s="25" t="s">
        <v>41</v>
      </c>
      <c r="E77" s="25"/>
      <c r="F77" s="50">
        <v>100</v>
      </c>
      <c r="G77" s="57">
        <v>67.999899999999997</v>
      </c>
    </row>
    <row r="78" spans="2:7" x14ac:dyDescent="0.3">
      <c r="B78" s="243">
        <v>1</v>
      </c>
      <c r="C78" s="231" t="s">
        <v>25</v>
      </c>
      <c r="D78" s="29" t="s">
        <v>36</v>
      </c>
      <c r="E78" s="29"/>
      <c r="F78" s="51">
        <v>50</v>
      </c>
      <c r="G78" s="53">
        <v>0.5</v>
      </c>
    </row>
    <row r="79" spans="2:7" x14ac:dyDescent="0.3">
      <c r="B79" s="244"/>
      <c r="C79" s="261"/>
      <c r="D79" s="24" t="s">
        <v>37</v>
      </c>
      <c r="E79" s="24"/>
      <c r="F79" s="32">
        <v>48</v>
      </c>
      <c r="G79" s="54">
        <v>0.48</v>
      </c>
    </row>
    <row r="80" spans="2:7" x14ac:dyDescent="0.3">
      <c r="B80" s="244"/>
      <c r="C80" s="261"/>
      <c r="D80" s="24" t="s">
        <v>39</v>
      </c>
      <c r="E80" s="24"/>
      <c r="F80" s="32">
        <v>1</v>
      </c>
      <c r="G80" s="54">
        <v>0.01</v>
      </c>
    </row>
    <row r="81" spans="2:8" ht="15" thickBot="1" x14ac:dyDescent="0.35">
      <c r="B81" s="245"/>
      <c r="C81" s="246"/>
      <c r="D81" s="30" t="s">
        <v>38</v>
      </c>
      <c r="E81" s="30"/>
      <c r="F81" s="52">
        <v>1</v>
      </c>
      <c r="G81" s="55">
        <v>0.01</v>
      </c>
    </row>
    <row r="82" spans="2:8" x14ac:dyDescent="0.3">
      <c r="B82" s="237">
        <v>20</v>
      </c>
      <c r="C82" s="240" t="s">
        <v>42</v>
      </c>
      <c r="D82" s="29" t="s">
        <v>43</v>
      </c>
      <c r="E82" s="29"/>
      <c r="F82" s="51">
        <v>25</v>
      </c>
      <c r="G82" s="53">
        <v>5</v>
      </c>
    </row>
    <row r="83" spans="2:8" x14ac:dyDescent="0.3">
      <c r="B83" s="238"/>
      <c r="C83" s="241"/>
      <c r="D83" s="24" t="s">
        <v>45</v>
      </c>
      <c r="E83" s="24"/>
      <c r="F83" s="32">
        <v>25</v>
      </c>
      <c r="G83" s="54">
        <v>5</v>
      </c>
    </row>
    <row r="84" spans="2:8" x14ac:dyDescent="0.3">
      <c r="B84" s="238"/>
      <c r="C84" s="241"/>
      <c r="D84" s="24" t="s">
        <v>44</v>
      </c>
      <c r="E84" s="24"/>
      <c r="F84" s="32">
        <v>30</v>
      </c>
      <c r="G84" s="54">
        <v>6</v>
      </c>
    </row>
    <row r="85" spans="2:8" ht="15" thickBot="1" x14ac:dyDescent="0.35">
      <c r="B85" s="239"/>
      <c r="C85" s="242"/>
      <c r="D85" s="30" t="s">
        <v>46</v>
      </c>
      <c r="E85" s="30"/>
      <c r="F85" s="52">
        <v>20</v>
      </c>
      <c r="G85" s="55">
        <v>4</v>
      </c>
    </row>
    <row r="86" spans="2:8" x14ac:dyDescent="0.3">
      <c r="B86" s="243">
        <v>1E-4</v>
      </c>
      <c r="C86" s="240" t="s">
        <v>47</v>
      </c>
      <c r="D86" s="29" t="s">
        <v>49</v>
      </c>
      <c r="E86" s="29"/>
      <c r="F86" s="51">
        <v>50</v>
      </c>
      <c r="G86" s="142">
        <v>5.0000000000000002E-5</v>
      </c>
    </row>
    <row r="87" spans="2:8" x14ac:dyDescent="0.3">
      <c r="B87" s="244"/>
      <c r="C87" s="241"/>
      <c r="D87" s="24" t="s">
        <v>50</v>
      </c>
      <c r="E87" s="24"/>
      <c r="F87" s="32">
        <v>30</v>
      </c>
      <c r="G87" s="143">
        <v>3.0000000000000001E-5</v>
      </c>
    </row>
    <row r="88" spans="2:8" ht="15" thickBot="1" x14ac:dyDescent="0.35">
      <c r="B88" s="245"/>
      <c r="C88" s="242"/>
      <c r="D88" s="30" t="s">
        <v>51</v>
      </c>
      <c r="E88" s="30"/>
      <c r="F88" s="52">
        <v>20</v>
      </c>
      <c r="G88" s="144">
        <v>2.0000000000000002E-5</v>
      </c>
    </row>
    <row r="89" spans="2:8" x14ac:dyDescent="0.3">
      <c r="B89" s="243">
        <v>1</v>
      </c>
      <c r="C89" s="231" t="s">
        <v>48</v>
      </c>
      <c r="D89" s="29" t="s">
        <v>52</v>
      </c>
      <c r="E89" s="29"/>
      <c r="F89" s="51">
        <v>90</v>
      </c>
      <c r="G89" s="53">
        <v>0.9</v>
      </c>
    </row>
    <row r="90" spans="2:8" ht="15" thickBot="1" x14ac:dyDescent="0.35">
      <c r="B90" s="245"/>
      <c r="C90" s="246"/>
      <c r="D90" s="30" t="s">
        <v>53</v>
      </c>
      <c r="E90" s="30"/>
      <c r="F90" s="52">
        <v>10</v>
      </c>
      <c r="G90" s="55">
        <v>0.1</v>
      </c>
    </row>
    <row r="91" spans="2:8" ht="15" thickBot="1" x14ac:dyDescent="0.35">
      <c r="B91" s="145">
        <v>10</v>
      </c>
      <c r="C91" s="25" t="s">
        <v>54</v>
      </c>
      <c r="D91" s="25" t="s">
        <v>54</v>
      </c>
      <c r="E91" s="25"/>
      <c r="F91" s="50">
        <v>100</v>
      </c>
      <c r="G91" s="57">
        <v>10</v>
      </c>
    </row>
    <row r="92" spans="2:8" ht="15" thickBot="1" x14ac:dyDescent="0.35">
      <c r="B92" s="234">
        <v>0.1</v>
      </c>
      <c r="C92" s="231" t="s">
        <v>90</v>
      </c>
      <c r="D92" s="58" t="s">
        <v>92</v>
      </c>
      <c r="E92" s="58"/>
      <c r="F92" s="59">
        <v>100</v>
      </c>
      <c r="G92" s="60">
        <v>0.1</v>
      </c>
    </row>
    <row r="93" spans="2:8" ht="43.2" x14ac:dyDescent="0.3">
      <c r="B93" s="235"/>
      <c r="C93" s="232"/>
      <c r="D93" s="61" t="s">
        <v>86</v>
      </c>
      <c r="E93" s="89"/>
      <c r="F93" s="62">
        <v>0.8</v>
      </c>
      <c r="G93" s="63">
        <f>B92*F93/100</f>
        <v>8.0000000000000015E-4</v>
      </c>
      <c r="H93" s="139" t="s">
        <v>96</v>
      </c>
    </row>
    <row r="94" spans="2:8" ht="28.8" x14ac:dyDescent="0.3">
      <c r="B94" s="235"/>
      <c r="C94" s="232"/>
      <c r="D94" s="64" t="s">
        <v>87</v>
      </c>
      <c r="E94" s="90"/>
      <c r="F94" s="65">
        <v>9</v>
      </c>
      <c r="G94" s="66">
        <f>B92*F94/100</f>
        <v>9.0000000000000011E-3</v>
      </c>
      <c r="H94" s="140" t="s">
        <v>95</v>
      </c>
    </row>
    <row r="95" spans="2:8" ht="29.4" thickBot="1" x14ac:dyDescent="0.35">
      <c r="B95" s="236"/>
      <c r="C95" s="233"/>
      <c r="D95" s="67" t="s">
        <v>88</v>
      </c>
      <c r="E95" s="91"/>
      <c r="F95" s="68">
        <v>1.1000000000000001</v>
      </c>
      <c r="G95" s="69">
        <f>B92*F95/100</f>
        <v>1.1000000000000001E-3</v>
      </c>
      <c r="H95" s="141" t="s">
        <v>95</v>
      </c>
    </row>
  </sheetData>
  <sortState xmlns:xlrd2="http://schemas.microsoft.com/office/spreadsheetml/2017/richdata2" ref="L38:M52">
    <sortCondition descending="1" ref="M38:M52"/>
  </sortState>
  <mergeCells count="20">
    <mergeCell ref="C20:C23"/>
    <mergeCell ref="B20:B23"/>
    <mergeCell ref="C24:C27"/>
    <mergeCell ref="B24:B27"/>
    <mergeCell ref="C28:C30"/>
    <mergeCell ref="B28:B30"/>
    <mergeCell ref="C31:C32"/>
    <mergeCell ref="B31:B32"/>
    <mergeCell ref="B36:F41"/>
    <mergeCell ref="A56:F59"/>
    <mergeCell ref="B78:B81"/>
    <mergeCell ref="C78:C81"/>
    <mergeCell ref="C92:C95"/>
    <mergeCell ref="B92:B95"/>
    <mergeCell ref="B82:B85"/>
    <mergeCell ref="C82:C85"/>
    <mergeCell ref="B86:B88"/>
    <mergeCell ref="C86:C88"/>
    <mergeCell ref="B89:B90"/>
    <mergeCell ref="C89:C90"/>
  </mergeCells>
  <pageMargins left="0.7" right="0.7" top="0.75" bottom="0.75" header="0.3" footer="0.3"/>
  <pageSetup paperSize="9" scale="3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5CFC-1FE4-4F71-BF63-ED79A12F326F}">
  <dimension ref="A1:I35"/>
  <sheetViews>
    <sheetView topLeftCell="A13" workbookViewId="0">
      <selection activeCell="I12" sqref="I12"/>
    </sheetView>
  </sheetViews>
  <sheetFormatPr defaultRowHeight="14.4" x14ac:dyDescent="0.3"/>
  <cols>
    <col min="1" max="1" width="23.44140625" customWidth="1"/>
    <col min="2" max="2" width="18.77734375" customWidth="1"/>
    <col min="3" max="3" width="21" customWidth="1"/>
    <col min="4" max="4" width="17.77734375" customWidth="1"/>
    <col min="5" max="5" width="19.77734375" customWidth="1"/>
    <col min="6" max="6" width="17.77734375" customWidth="1"/>
    <col min="7" max="7" width="18.33203125" customWidth="1"/>
    <col min="8" max="8" width="19" customWidth="1"/>
  </cols>
  <sheetData>
    <row r="1" spans="1:9" x14ac:dyDescent="0.3">
      <c r="A1" t="s">
        <v>100</v>
      </c>
    </row>
    <row r="2" spans="1:9" x14ac:dyDescent="0.3">
      <c r="A2" t="s">
        <v>119</v>
      </c>
    </row>
    <row r="3" spans="1:9" ht="15" thickBot="1" x14ac:dyDescent="0.35">
      <c r="A3" s="84" t="s">
        <v>203</v>
      </c>
    </row>
    <row r="4" spans="1:9" ht="43.8" thickBot="1" x14ac:dyDescent="0.35">
      <c r="A4" s="152" t="s">
        <v>204</v>
      </c>
      <c r="B4" s="76" t="s">
        <v>120</v>
      </c>
      <c r="C4" s="77" t="s">
        <v>120</v>
      </c>
      <c r="D4" s="77" t="s">
        <v>120</v>
      </c>
      <c r="E4" s="77" t="s">
        <v>120</v>
      </c>
      <c r="F4" s="77" t="s">
        <v>120</v>
      </c>
      <c r="G4" s="77" t="s">
        <v>120</v>
      </c>
      <c r="H4" s="78" t="s">
        <v>120</v>
      </c>
      <c r="I4" s="153"/>
    </row>
    <row r="5" spans="1:9" ht="15" thickBot="1" x14ac:dyDescent="0.35">
      <c r="A5" s="76" t="s">
        <v>115</v>
      </c>
      <c r="B5" s="81" t="s">
        <v>107</v>
      </c>
      <c r="C5" s="81" t="s">
        <v>109</v>
      </c>
      <c r="D5" s="81" t="s">
        <v>108</v>
      </c>
      <c r="E5" s="81" t="s">
        <v>110</v>
      </c>
      <c r="F5" s="81" t="s">
        <v>111</v>
      </c>
      <c r="G5" s="81" t="s">
        <v>112</v>
      </c>
      <c r="H5" s="82" t="s">
        <v>113</v>
      </c>
    </row>
    <row r="6" spans="1:9" x14ac:dyDescent="0.3">
      <c r="A6" s="75" t="s">
        <v>101</v>
      </c>
      <c r="B6" s="75"/>
      <c r="C6" s="75"/>
      <c r="D6" s="75"/>
      <c r="E6" s="75"/>
      <c r="F6" s="75"/>
      <c r="G6" s="75"/>
      <c r="H6" s="75"/>
    </row>
    <row r="7" spans="1:9" x14ac:dyDescent="0.3">
      <c r="A7" s="1" t="s">
        <v>102</v>
      </c>
      <c r="B7" s="1"/>
      <c r="C7" s="1"/>
      <c r="D7" s="1"/>
      <c r="E7" s="1"/>
      <c r="F7" s="1"/>
      <c r="G7" s="1"/>
      <c r="H7" s="1"/>
    </row>
    <row r="8" spans="1:9" x14ac:dyDescent="0.3">
      <c r="A8" s="1" t="s">
        <v>103</v>
      </c>
      <c r="B8" s="1"/>
      <c r="C8" s="1"/>
      <c r="D8" s="1"/>
      <c r="E8" s="1"/>
      <c r="F8" s="1"/>
      <c r="G8" s="1"/>
      <c r="H8" s="1"/>
    </row>
    <row r="9" spans="1:9" x14ac:dyDescent="0.3">
      <c r="A9" s="1" t="s">
        <v>104</v>
      </c>
      <c r="B9" s="1"/>
      <c r="C9" s="1"/>
      <c r="D9" s="1"/>
      <c r="E9" s="1"/>
      <c r="F9" s="1"/>
      <c r="G9" s="1"/>
      <c r="H9" s="1"/>
    </row>
    <row r="10" spans="1:9" x14ac:dyDescent="0.3">
      <c r="A10" s="1" t="s">
        <v>105</v>
      </c>
      <c r="B10" s="1"/>
      <c r="C10" s="1"/>
      <c r="D10" s="1"/>
      <c r="E10" s="1"/>
      <c r="F10" s="1"/>
      <c r="G10" s="1"/>
      <c r="H10" s="1"/>
    </row>
    <row r="11" spans="1:9" ht="15" thickBot="1" x14ac:dyDescent="0.35">
      <c r="A11" s="45" t="s">
        <v>106</v>
      </c>
      <c r="B11" s="45"/>
      <c r="C11" s="45"/>
      <c r="D11" s="45"/>
      <c r="E11" s="45"/>
      <c r="F11" s="45"/>
      <c r="G11" s="45"/>
      <c r="H11" s="45"/>
    </row>
    <row r="12" spans="1:9" ht="15" thickBot="1" x14ac:dyDescent="0.35">
      <c r="A12" s="76" t="s">
        <v>115</v>
      </c>
      <c r="B12" s="77" t="s">
        <v>107</v>
      </c>
      <c r="C12" s="77" t="s">
        <v>109</v>
      </c>
      <c r="D12" s="77" t="s">
        <v>108</v>
      </c>
      <c r="E12" s="77" t="s">
        <v>110</v>
      </c>
      <c r="F12" s="77" t="s">
        <v>111</v>
      </c>
      <c r="G12" s="77" t="s">
        <v>112</v>
      </c>
      <c r="H12" s="78" t="s">
        <v>113</v>
      </c>
    </row>
    <row r="13" spans="1:9" x14ac:dyDescent="0.3">
      <c r="A13" s="75" t="s">
        <v>101</v>
      </c>
      <c r="B13" s="75"/>
      <c r="C13" s="75"/>
      <c r="D13" s="75"/>
      <c r="E13" s="75"/>
      <c r="F13" s="75"/>
      <c r="G13" s="75"/>
      <c r="H13" s="75"/>
    </row>
    <row r="14" spans="1:9" x14ac:dyDescent="0.3">
      <c r="A14" s="1" t="s">
        <v>102</v>
      </c>
      <c r="B14" s="1"/>
      <c r="C14" s="1"/>
      <c r="D14" s="1"/>
      <c r="E14" s="1"/>
      <c r="F14" s="1"/>
      <c r="G14" s="1"/>
      <c r="H14" s="1"/>
    </row>
    <row r="15" spans="1:9" x14ac:dyDescent="0.3">
      <c r="A15" s="1" t="s">
        <v>114</v>
      </c>
      <c r="B15" s="1"/>
      <c r="C15" s="1"/>
      <c r="D15" s="1"/>
      <c r="E15" s="1"/>
      <c r="F15" s="1"/>
      <c r="G15" s="1"/>
      <c r="H15" s="1"/>
    </row>
    <row r="16" spans="1:9" x14ac:dyDescent="0.3">
      <c r="A16" s="1" t="s">
        <v>104</v>
      </c>
      <c r="B16" s="1"/>
      <c r="C16" s="1"/>
      <c r="D16" s="1"/>
      <c r="E16" s="1"/>
      <c r="F16" s="1"/>
      <c r="G16" s="1"/>
      <c r="H16" s="1"/>
    </row>
    <row r="17" spans="1:8" x14ac:dyDescent="0.3">
      <c r="A17" s="1" t="s">
        <v>105</v>
      </c>
      <c r="B17" s="1"/>
      <c r="C17" s="1"/>
      <c r="D17" s="1"/>
      <c r="E17" s="1"/>
      <c r="F17" s="1"/>
      <c r="G17" s="1"/>
      <c r="H17" s="1"/>
    </row>
    <row r="18" spans="1:8" ht="15" thickBot="1" x14ac:dyDescent="0.35">
      <c r="A18" s="45" t="s">
        <v>106</v>
      </c>
      <c r="B18" s="45"/>
      <c r="C18" s="45"/>
      <c r="D18" s="45"/>
      <c r="E18" s="45"/>
      <c r="F18" s="45"/>
      <c r="G18" s="45"/>
      <c r="H18" s="45"/>
    </row>
    <row r="19" spans="1:8" ht="15" thickBot="1" x14ac:dyDescent="0.35">
      <c r="A19" s="76" t="s">
        <v>115</v>
      </c>
      <c r="B19" s="77" t="s">
        <v>107</v>
      </c>
      <c r="C19" s="77" t="s">
        <v>109</v>
      </c>
      <c r="D19" s="77" t="s">
        <v>108</v>
      </c>
      <c r="E19" s="77" t="s">
        <v>110</v>
      </c>
      <c r="F19" s="77" t="s">
        <v>111</v>
      </c>
      <c r="G19" s="77" t="s">
        <v>112</v>
      </c>
      <c r="H19" s="78" t="s">
        <v>113</v>
      </c>
    </row>
    <row r="20" spans="1:8" x14ac:dyDescent="0.3">
      <c r="A20" s="75" t="s">
        <v>101</v>
      </c>
      <c r="B20" s="75"/>
      <c r="C20" s="75"/>
      <c r="D20" s="75"/>
      <c r="E20" s="75"/>
      <c r="F20" s="75"/>
      <c r="G20" s="75"/>
      <c r="H20" s="75"/>
    </row>
    <row r="21" spans="1:8" x14ac:dyDescent="0.3">
      <c r="A21" s="1" t="s">
        <v>102</v>
      </c>
      <c r="B21" s="1"/>
      <c r="C21" s="1"/>
      <c r="D21" s="1"/>
      <c r="E21" s="1"/>
      <c r="F21" s="1"/>
      <c r="G21" s="1"/>
      <c r="H21" s="1"/>
    </row>
    <row r="22" spans="1:8" x14ac:dyDescent="0.3">
      <c r="A22" s="1" t="s">
        <v>114</v>
      </c>
      <c r="B22" s="1"/>
      <c r="C22" s="1"/>
      <c r="D22" s="1"/>
      <c r="E22" s="1"/>
      <c r="F22" s="1"/>
      <c r="G22" s="1"/>
      <c r="H22" s="1"/>
    </row>
    <row r="23" spans="1:8" x14ac:dyDescent="0.3">
      <c r="A23" s="1" t="s">
        <v>104</v>
      </c>
      <c r="B23" s="1"/>
      <c r="C23" s="1"/>
      <c r="D23" s="1"/>
      <c r="E23" s="1"/>
      <c r="F23" s="1"/>
      <c r="G23" s="1"/>
      <c r="H23" s="1"/>
    </row>
    <row r="24" spans="1:8" x14ac:dyDescent="0.3">
      <c r="A24" s="1" t="s">
        <v>105</v>
      </c>
      <c r="B24" s="1"/>
      <c r="C24" s="1"/>
      <c r="D24" s="1"/>
      <c r="E24" s="1"/>
      <c r="F24" s="1"/>
      <c r="G24" s="1"/>
      <c r="H24" s="1"/>
    </row>
    <row r="25" spans="1:8" ht="15" thickBot="1" x14ac:dyDescent="0.35">
      <c r="A25" s="45" t="s">
        <v>106</v>
      </c>
      <c r="B25" s="45"/>
      <c r="C25" s="45"/>
      <c r="D25" s="45"/>
      <c r="E25" s="45"/>
      <c r="F25" s="45"/>
      <c r="G25" s="45"/>
      <c r="H25" s="45"/>
    </row>
    <row r="26" spans="1:8" ht="15" thickBot="1" x14ac:dyDescent="0.35">
      <c r="A26" s="76" t="s">
        <v>115</v>
      </c>
      <c r="B26" s="77" t="s">
        <v>107</v>
      </c>
      <c r="C26" s="77" t="s">
        <v>109</v>
      </c>
      <c r="D26" s="77" t="s">
        <v>108</v>
      </c>
      <c r="E26" s="77" t="s">
        <v>110</v>
      </c>
      <c r="F26" s="77" t="s">
        <v>111</v>
      </c>
      <c r="G26" s="77" t="s">
        <v>112</v>
      </c>
      <c r="H26" s="78" t="s">
        <v>113</v>
      </c>
    </row>
    <row r="27" spans="1:8" x14ac:dyDescent="0.3">
      <c r="A27" s="75" t="s">
        <v>101</v>
      </c>
      <c r="B27" s="75"/>
      <c r="C27" s="75"/>
      <c r="D27" s="75"/>
      <c r="E27" s="75"/>
      <c r="F27" s="75"/>
      <c r="G27" s="75"/>
      <c r="H27" s="75"/>
    </row>
    <row r="28" spans="1:8" x14ac:dyDescent="0.3">
      <c r="A28" s="1" t="s">
        <v>102</v>
      </c>
      <c r="B28" s="1"/>
      <c r="C28" s="1"/>
      <c r="D28" s="1"/>
      <c r="E28" s="1"/>
      <c r="F28" s="1"/>
      <c r="G28" s="1"/>
      <c r="H28" s="1"/>
    </row>
    <row r="29" spans="1:8" x14ac:dyDescent="0.3">
      <c r="A29" s="1" t="s">
        <v>114</v>
      </c>
      <c r="B29" s="1"/>
      <c r="C29" s="1"/>
      <c r="D29" s="1"/>
      <c r="E29" s="1"/>
      <c r="F29" s="1"/>
      <c r="G29" s="1"/>
      <c r="H29" s="1"/>
    </row>
    <row r="30" spans="1:8" x14ac:dyDescent="0.3">
      <c r="A30" s="1" t="s">
        <v>104</v>
      </c>
      <c r="B30" s="1"/>
      <c r="C30" s="1"/>
      <c r="D30" s="1"/>
      <c r="E30" s="1"/>
      <c r="F30" s="1"/>
      <c r="G30" s="1"/>
      <c r="H30" s="1"/>
    </row>
    <row r="31" spans="1:8" x14ac:dyDescent="0.3">
      <c r="A31" s="1" t="s">
        <v>105</v>
      </c>
      <c r="B31" s="1"/>
      <c r="C31" s="1"/>
      <c r="D31" s="1"/>
      <c r="E31" s="1"/>
      <c r="F31" s="1"/>
      <c r="G31" s="1"/>
      <c r="H31" s="1"/>
    </row>
    <row r="32" spans="1:8" x14ac:dyDescent="0.3">
      <c r="A32" s="1" t="s">
        <v>106</v>
      </c>
      <c r="B32" s="1"/>
      <c r="C32" s="1"/>
      <c r="D32" s="1"/>
      <c r="E32" s="1"/>
      <c r="F32" s="1"/>
      <c r="G32" s="1"/>
      <c r="H32" s="1"/>
    </row>
    <row r="33" spans="1:3" ht="15" thickBot="1" x14ac:dyDescent="0.35"/>
    <row r="34" spans="1:3" ht="15" thickBot="1" x14ac:dyDescent="0.35">
      <c r="A34" s="79" t="s">
        <v>116</v>
      </c>
    </row>
    <row r="35" spans="1:3" ht="15" thickBot="1" x14ac:dyDescent="0.35">
      <c r="A35" s="80" t="s">
        <v>117</v>
      </c>
      <c r="B35" s="12"/>
      <c r="C35" s="1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3640E91813D14A8CDA3CF81C95455F" ma:contentTypeVersion="5" ma:contentTypeDescription="Create a new document." ma:contentTypeScope="" ma:versionID="fd0101a1b0aaa30fa7b6110d156717c8">
  <xsd:schema xmlns:xsd="http://www.w3.org/2001/XMLSchema" xmlns:xs="http://www.w3.org/2001/XMLSchema" xmlns:p="http://schemas.microsoft.com/office/2006/metadata/properties" xmlns:ns3="a27a71c0-fd33-4fc9-ba33-e4886235d188" targetNamespace="http://schemas.microsoft.com/office/2006/metadata/properties" ma:root="true" ma:fieldsID="3ef18778f4ff88f7ba42babb2032a0a1" ns3:_="">
    <xsd:import namespace="a27a71c0-fd33-4fc9-ba33-e4886235d1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a71c0-fd33-4fc9-ba33-e4886235d1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7a71c0-fd33-4fc9-ba33-e4886235d188" xsi:nil="true"/>
  </documentManagement>
</p:properties>
</file>

<file path=customXml/itemProps1.xml><?xml version="1.0" encoding="utf-8"?>
<ds:datastoreItem xmlns:ds="http://schemas.openxmlformats.org/officeDocument/2006/customXml" ds:itemID="{D3D7E950-6A5D-426C-BE1A-3661767906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5BEA23-6D2B-4188-9A84-0564C8A9C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a71c0-fd33-4fc9-ba33-e4886235d1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4D00CB-9A1E-4358-A128-767F5E84B494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27a71c0-fd33-4fc9-ba33-e4886235d188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Ingredient Information (Tab 1)</vt:lpstr>
      <vt:lpstr>Formulation Sheet (Tab 2)</vt:lpstr>
      <vt:lpstr>INCI Breakdown_LOI (Tab 3)</vt:lpstr>
      <vt:lpstr>Stability test (Tab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Schutz</dc:creator>
  <cp:lastModifiedBy>Evan</cp:lastModifiedBy>
  <cp:lastPrinted>2026-02-24T04:57:37Z</cp:lastPrinted>
  <dcterms:created xsi:type="dcterms:W3CDTF">2026-02-08T22:18:54Z</dcterms:created>
  <dcterms:modified xsi:type="dcterms:W3CDTF">2026-04-23T13:07:13Z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0x010100003640E91813D14A8CDA3CF81C95455F</vt:lpwstr>
  </property>
</Properties>
</file>