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Navid\01. Human Resource\18. PMS\03. Yearly Increment\01. Database\"/>
    </mc:Choice>
  </mc:AlternateContent>
  <xr:revisionPtr revIDLastSave="0" documentId="13_ncr:1_{3362E2A7-4FFA-4914-92F0-4FD8CEEFD9BC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3" r:id="rId1"/>
    <sheet name="DataBase" sheetId="1" r:id="rId2"/>
    <sheet name="Sheet4" sheetId="6" r:id="rId3"/>
    <sheet name="Sheet5" sheetId="7" r:id="rId4"/>
    <sheet name="2019" sheetId="5" r:id="rId5"/>
    <sheet name="2020" sheetId="4" r:id="rId6"/>
    <sheet name="TS_PDL" sheetId="2" r:id="rId7"/>
    <sheet name="2020_PDL" sheetId="8" r:id="rId8"/>
    <sheet name="2019_PDL" sheetId="9" r:id="rId9"/>
    <sheet name="2017" sheetId="10" r:id="rId10"/>
    <sheet name="2020_BTL" sheetId="11" r:id="rId11"/>
  </sheets>
  <externalReferences>
    <externalReference r:id="rId12"/>
  </externalReferences>
  <definedNames>
    <definedName name="_xlnm.Print_Area" localSheetId="6">TS_PDL!$A$1:$Q$41</definedName>
  </definedNames>
  <calcPr calcId="181029"/>
  <pivotCaches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37" i="11" l="1"/>
  <c r="G147" i="11"/>
  <c r="G146" i="11"/>
  <c r="G145" i="11"/>
  <c r="G144" i="11"/>
  <c r="G143" i="11"/>
  <c r="G142" i="11"/>
  <c r="G141" i="11"/>
  <c r="G140" i="11"/>
  <c r="G139" i="11"/>
  <c r="G137" i="11"/>
  <c r="G138" i="11"/>
  <c r="C64" i="10"/>
  <c r="M11" i="2"/>
  <c r="M12" i="2"/>
  <c r="M14" i="2"/>
  <c r="T133" i="9"/>
  <c r="L11" i="2"/>
  <c r="L12" i="2"/>
  <c r="L13" i="2"/>
  <c r="L14" i="2"/>
  <c r="J6" i="2"/>
  <c r="J7" i="2"/>
  <c r="J8" i="2"/>
  <c r="J9" i="2"/>
  <c r="J10" i="2"/>
  <c r="J11" i="2"/>
  <c r="J12" i="2"/>
  <c r="J13" i="2"/>
  <c r="J14" i="2"/>
  <c r="J15" i="2"/>
  <c r="J5" i="2"/>
  <c r="L162" i="9"/>
  <c r="J162" i="9"/>
  <c r="I162" i="9"/>
  <c r="S132" i="9"/>
  <c r="L15" i="2" s="1"/>
  <c r="R132" i="9"/>
  <c r="Q132" i="9"/>
  <c r="U132" i="9" s="1"/>
  <c r="M15" i="2" s="1"/>
  <c r="R130" i="9"/>
  <c r="Q130" i="9"/>
  <c r="U130" i="9" s="1"/>
  <c r="M13" i="2" s="1"/>
  <c r="U129" i="9"/>
  <c r="S127" i="9"/>
  <c r="L10" i="2" s="1"/>
  <c r="R127" i="9"/>
  <c r="Q127" i="9"/>
  <c r="U127" i="9" s="1"/>
  <c r="M10" i="2" s="1"/>
  <c r="S126" i="9"/>
  <c r="L9" i="2" s="1"/>
  <c r="R126" i="9"/>
  <c r="Q126" i="9"/>
  <c r="U126" i="9" s="1"/>
  <c r="M9" i="2" s="1"/>
  <c r="S125" i="9"/>
  <c r="L8" i="2" s="1"/>
  <c r="R125" i="9"/>
  <c r="Q125" i="9"/>
  <c r="U125" i="9" s="1"/>
  <c r="M8" i="2" s="1"/>
  <c r="S124" i="9"/>
  <c r="L7" i="2" s="1"/>
  <c r="R124" i="9"/>
  <c r="Q124" i="9"/>
  <c r="U124" i="9" s="1"/>
  <c r="M7" i="2" s="1"/>
  <c r="S123" i="9"/>
  <c r="L6" i="2" s="1"/>
  <c r="R123" i="9"/>
  <c r="Q123" i="9"/>
  <c r="U123" i="9" s="1"/>
  <c r="M6" i="2" s="1"/>
  <c r="S122" i="9"/>
  <c r="L5" i="2" s="1"/>
  <c r="R122" i="9"/>
  <c r="R133" i="9" s="1"/>
  <c r="Q122" i="9"/>
  <c r="U122" i="9" s="1"/>
  <c r="M5" i="2" s="1"/>
  <c r="R43" i="8"/>
  <c r="L75" i="8"/>
  <c r="E12" i="2"/>
  <c r="J80" i="8"/>
  <c r="I76" i="8"/>
  <c r="M75" i="8"/>
  <c r="J75" i="8"/>
  <c r="J76" i="8" s="1"/>
  <c r="I75" i="8"/>
  <c r="T43" i="8"/>
  <c r="S42" i="8"/>
  <c r="G15" i="2" s="1"/>
  <c r="R42" i="8"/>
  <c r="E15" i="2" s="1"/>
  <c r="Q42" i="8"/>
  <c r="U42" i="8" s="1"/>
  <c r="H15" i="2" s="1"/>
  <c r="S41" i="8"/>
  <c r="G14" i="2" s="1"/>
  <c r="R41" i="8"/>
  <c r="E14" i="2" s="1"/>
  <c r="Q41" i="8"/>
  <c r="U41" i="8" s="1"/>
  <c r="H14" i="2" s="1"/>
  <c r="S40" i="8"/>
  <c r="G13" i="2" s="1"/>
  <c r="R40" i="8"/>
  <c r="E13" i="2" s="1"/>
  <c r="Q40" i="8"/>
  <c r="U40" i="8" s="1"/>
  <c r="H13" i="2" s="1"/>
  <c r="S39" i="8"/>
  <c r="G12" i="2" s="1"/>
  <c r="R39" i="8"/>
  <c r="Q39" i="8"/>
  <c r="U39" i="8" s="1"/>
  <c r="H12" i="2" s="1"/>
  <c r="S38" i="8"/>
  <c r="G11" i="2" s="1"/>
  <c r="R38" i="8"/>
  <c r="E11" i="2" s="1"/>
  <c r="Q38" i="8"/>
  <c r="U38" i="8" s="1"/>
  <c r="H11" i="2" s="1"/>
  <c r="S37" i="8"/>
  <c r="G10" i="2" s="1"/>
  <c r="R37" i="8"/>
  <c r="E10" i="2" s="1"/>
  <c r="Q37" i="8"/>
  <c r="U37" i="8" s="1"/>
  <c r="H10" i="2" s="1"/>
  <c r="S36" i="8"/>
  <c r="G9" i="2" s="1"/>
  <c r="R36" i="8"/>
  <c r="E9" i="2" s="1"/>
  <c r="Q36" i="8"/>
  <c r="U36" i="8" s="1"/>
  <c r="H9" i="2" s="1"/>
  <c r="S35" i="8"/>
  <c r="G8" i="2" s="1"/>
  <c r="R35" i="8"/>
  <c r="E8" i="2" s="1"/>
  <c r="Q35" i="8"/>
  <c r="U35" i="8" s="1"/>
  <c r="H8" i="2" s="1"/>
  <c r="S34" i="8"/>
  <c r="G7" i="2" s="1"/>
  <c r="R34" i="8"/>
  <c r="E7" i="2" s="1"/>
  <c r="Q34" i="8"/>
  <c r="U34" i="8" s="1"/>
  <c r="H7" i="2" s="1"/>
  <c r="S33" i="8"/>
  <c r="G6" i="2" s="1"/>
  <c r="R33" i="8"/>
  <c r="E6" i="2" s="1"/>
  <c r="Q33" i="8"/>
  <c r="U33" i="8" s="1"/>
  <c r="H6" i="2" s="1"/>
  <c r="S32" i="8"/>
  <c r="G5" i="2" s="1"/>
  <c r="R32" i="8"/>
  <c r="E5" i="2" s="1"/>
  <c r="Q32" i="8"/>
  <c r="V133" i="9" l="1"/>
  <c r="L16" i="2"/>
  <c r="I13" i="2"/>
  <c r="K13" i="2" s="1"/>
  <c r="I12" i="2"/>
  <c r="I11" i="2"/>
  <c r="I10" i="2"/>
  <c r="K10" i="2" s="1"/>
  <c r="I9" i="2"/>
  <c r="K9" i="2" s="1"/>
  <c r="I8" i="2"/>
  <c r="K8" i="2" s="1"/>
  <c r="I15" i="2"/>
  <c r="K15" i="2" s="1"/>
  <c r="I7" i="2"/>
  <c r="K7" i="2" s="1"/>
  <c r="I14" i="2"/>
  <c r="I6" i="2"/>
  <c r="K6" i="2" s="1"/>
  <c r="I5" i="2"/>
  <c r="K5" i="2" s="1"/>
  <c r="S133" i="9"/>
  <c r="Q133" i="9"/>
  <c r="Q136" i="9" s="1"/>
  <c r="M16" i="2" s="1"/>
  <c r="S43" i="8"/>
  <c r="Q43" i="8"/>
  <c r="Q44" i="8" s="1"/>
  <c r="D15" i="2"/>
  <c r="F15" i="2" s="1"/>
  <c r="D12" i="2"/>
  <c r="F12" i="2" s="1"/>
  <c r="D11" i="2"/>
  <c r="F11" i="2" s="1"/>
  <c r="D13" i="2"/>
  <c r="F13" i="2" s="1"/>
  <c r="D10" i="2"/>
  <c r="F10" i="2" s="1"/>
  <c r="D9" i="2"/>
  <c r="F9" i="2" s="1"/>
  <c r="D8" i="2"/>
  <c r="F8" i="2" s="1"/>
  <c r="D7" i="2"/>
  <c r="F7" i="2" s="1"/>
  <c r="D14" i="2"/>
  <c r="F14" i="2" s="1"/>
  <c r="D6" i="2"/>
  <c r="F6" i="2" s="1"/>
  <c r="D5" i="2"/>
  <c r="F5" i="2" s="1"/>
  <c r="U32" i="8"/>
  <c r="H5" i="2" s="1"/>
  <c r="J16" i="2"/>
  <c r="E16" i="2"/>
  <c r="R177" i="4"/>
  <c r="R176" i="4"/>
  <c r="R175" i="4"/>
  <c r="R174" i="4"/>
  <c r="R173" i="4"/>
  <c r="R172" i="4"/>
  <c r="R171" i="4"/>
  <c r="R170" i="4"/>
  <c r="R169" i="4"/>
  <c r="R168" i="4"/>
  <c r="R167" i="4"/>
  <c r="J215" i="4"/>
  <c r="R130" i="5"/>
  <c r="R133" i="5" s="1"/>
  <c r="I211" i="4"/>
  <c r="R132" i="5"/>
  <c r="R127" i="5"/>
  <c r="R126" i="5"/>
  <c r="R125" i="5"/>
  <c r="R124" i="5"/>
  <c r="R123" i="5"/>
  <c r="R122" i="5"/>
  <c r="L162" i="5"/>
  <c r="S132" i="5"/>
  <c r="S127" i="5"/>
  <c r="S126" i="5"/>
  <c r="S125" i="5"/>
  <c r="S124" i="5"/>
  <c r="S123" i="5"/>
  <c r="J162" i="5"/>
  <c r="I162" i="5"/>
  <c r="Q132" i="5"/>
  <c r="U132" i="5" s="1"/>
  <c r="Q131" i="5"/>
  <c r="U131" i="5" s="1"/>
  <c r="Q130" i="5"/>
  <c r="U130" i="5" s="1"/>
  <c r="Q129" i="5"/>
  <c r="U129" i="5" s="1"/>
  <c r="Q128" i="5"/>
  <c r="U128" i="5" s="1"/>
  <c r="Q127" i="5"/>
  <c r="U127" i="5" s="1"/>
  <c r="Q126" i="5"/>
  <c r="U126" i="5" s="1"/>
  <c r="Q125" i="5"/>
  <c r="U125" i="5" s="1"/>
  <c r="Q124" i="5"/>
  <c r="U124" i="5" s="1"/>
  <c r="Q123" i="5"/>
  <c r="U123" i="5" s="1"/>
  <c r="S122" i="5"/>
  <c r="Q122" i="5"/>
  <c r="U122" i="5" s="1"/>
  <c r="T133" i="5"/>
  <c r="T178" i="4"/>
  <c r="S177" i="4"/>
  <c r="Q177" i="4"/>
  <c r="U177" i="4" s="1"/>
  <c r="S176" i="4"/>
  <c r="S175" i="4"/>
  <c r="S174" i="4"/>
  <c r="Q176" i="4"/>
  <c r="U176" i="4" s="1"/>
  <c r="Q175" i="4"/>
  <c r="U175" i="4" s="1"/>
  <c r="Q174" i="4"/>
  <c r="U174" i="4" s="1"/>
  <c r="S173" i="4"/>
  <c r="Q173" i="4"/>
  <c r="U173" i="4" s="1"/>
  <c r="S172" i="4"/>
  <c r="Q172" i="4"/>
  <c r="U172" i="4" s="1"/>
  <c r="S171" i="4"/>
  <c r="Q171" i="4"/>
  <c r="U171" i="4" s="1"/>
  <c r="S170" i="4"/>
  <c r="Q170" i="4"/>
  <c r="U170" i="4" s="1"/>
  <c r="S169" i="4"/>
  <c r="Q169" i="4"/>
  <c r="U169" i="4" s="1"/>
  <c r="S168" i="4"/>
  <c r="Q168" i="4"/>
  <c r="U168" i="4" s="1"/>
  <c r="S167" i="4"/>
  <c r="Q167" i="4"/>
  <c r="U167" i="4" s="1"/>
  <c r="J210" i="4"/>
  <c r="J211" i="4" s="1"/>
  <c r="M210" i="4"/>
  <c r="I210" i="4"/>
  <c r="L210" i="4"/>
  <c r="U112" i="1"/>
  <c r="U10" i="1"/>
  <c r="U3" i="1"/>
  <c r="U4" i="1"/>
  <c r="U5" i="1"/>
  <c r="U6" i="1"/>
  <c r="U7" i="1"/>
  <c r="U8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1" i="1"/>
  <c r="U32" i="1"/>
  <c r="U33" i="1"/>
  <c r="U34" i="1"/>
  <c r="U35" i="1"/>
  <c r="U36" i="1"/>
  <c r="U37" i="1"/>
  <c r="U38" i="1"/>
  <c r="U39" i="1"/>
  <c r="U41" i="1"/>
  <c r="U42" i="1"/>
  <c r="U43" i="1"/>
  <c r="U44" i="1"/>
  <c r="U45" i="1"/>
  <c r="U46" i="1"/>
  <c r="U47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8" i="1"/>
  <c r="U79" i="1"/>
  <c r="U81" i="1"/>
  <c r="U82" i="1"/>
  <c r="U83" i="1"/>
  <c r="U84" i="1"/>
  <c r="U85" i="1"/>
  <c r="U86" i="1"/>
  <c r="U87" i="1"/>
  <c r="U88" i="1"/>
  <c r="U89" i="1"/>
  <c r="U90" i="1"/>
  <c r="U94" i="1"/>
  <c r="U95" i="1"/>
  <c r="U97" i="1"/>
  <c r="U99" i="1"/>
  <c r="U100" i="1"/>
  <c r="U101" i="1"/>
  <c r="U102" i="1"/>
  <c r="U103" i="1"/>
  <c r="U104" i="1"/>
  <c r="U106" i="1"/>
  <c r="U107" i="1"/>
  <c r="U108" i="1"/>
  <c r="U109" i="1"/>
  <c r="U110" i="1"/>
  <c r="U113" i="1"/>
  <c r="U114" i="1"/>
  <c r="U115" i="1"/>
  <c r="U116" i="1"/>
  <c r="U117" i="1"/>
  <c r="U120" i="1"/>
  <c r="U121" i="1"/>
  <c r="U122" i="1"/>
  <c r="U123" i="1"/>
  <c r="U124" i="1"/>
  <c r="U125" i="1"/>
  <c r="U126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3" i="1"/>
  <c r="U165" i="1"/>
  <c r="U166" i="1"/>
  <c r="U167" i="1"/>
  <c r="U168" i="1"/>
  <c r="U169" i="1"/>
  <c r="U170" i="1"/>
  <c r="U171" i="1"/>
  <c r="U172" i="1"/>
  <c r="U180" i="1"/>
  <c r="U181" i="1"/>
  <c r="U234" i="1"/>
  <c r="U239" i="1"/>
  <c r="U240" i="1"/>
  <c r="U241" i="1"/>
  <c r="U242" i="1"/>
  <c r="U243" i="1"/>
  <c r="U245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8" i="1"/>
  <c r="R79" i="1"/>
  <c r="R81" i="1"/>
  <c r="R82" i="1"/>
  <c r="R83" i="1"/>
  <c r="R84" i="1"/>
  <c r="R85" i="1"/>
  <c r="R86" i="1"/>
  <c r="R87" i="1"/>
  <c r="R88" i="1"/>
  <c r="R89" i="1"/>
  <c r="R90" i="1"/>
  <c r="R94" i="1"/>
  <c r="R95" i="1"/>
  <c r="R96" i="1"/>
  <c r="R97" i="1"/>
  <c r="R98" i="1"/>
  <c r="R99" i="1"/>
  <c r="R100" i="1"/>
  <c r="R101" i="1"/>
  <c r="R102" i="1"/>
  <c r="R103" i="1"/>
  <c r="R104" i="1"/>
  <c r="R106" i="1"/>
  <c r="R107" i="1"/>
  <c r="R108" i="1"/>
  <c r="R109" i="1"/>
  <c r="R110" i="1"/>
  <c r="R112" i="1"/>
  <c r="R113" i="1"/>
  <c r="R114" i="1"/>
  <c r="R115" i="1"/>
  <c r="R116" i="1"/>
  <c r="R117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U162" i="1" s="1"/>
  <c r="R163" i="1"/>
  <c r="R164" i="1"/>
  <c r="U164" i="1" s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" i="1"/>
  <c r="AE7" i="1"/>
  <c r="AE8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4" i="1"/>
  <c r="AE25" i="1"/>
  <c r="AE26" i="1"/>
  <c r="AE27" i="1"/>
  <c r="AE28" i="1"/>
  <c r="AE29" i="1"/>
  <c r="AE31" i="1"/>
  <c r="AE32" i="1"/>
  <c r="AE33" i="1"/>
  <c r="AE34" i="1"/>
  <c r="AE35" i="1"/>
  <c r="AE36" i="1"/>
  <c r="AE37" i="1"/>
  <c r="AE38" i="1"/>
  <c r="AE39" i="1"/>
  <c r="AE41" i="1"/>
  <c r="AE42" i="1"/>
  <c r="AE43" i="1"/>
  <c r="AE44" i="1"/>
  <c r="AE45" i="1"/>
  <c r="AE47" i="1"/>
  <c r="AE51" i="1"/>
  <c r="AE52" i="1"/>
  <c r="AE53" i="1"/>
  <c r="AE54" i="1"/>
  <c r="AE55" i="1"/>
  <c r="AE56" i="1"/>
  <c r="AE57" i="1"/>
  <c r="AE59" i="1"/>
  <c r="AE60" i="1"/>
  <c r="AE61" i="1"/>
  <c r="AE63" i="1"/>
  <c r="AE64" i="1"/>
  <c r="AE65" i="1"/>
  <c r="AE66" i="1"/>
  <c r="AE67" i="1"/>
  <c r="AE68" i="1"/>
  <c r="AE69" i="1"/>
  <c r="AE70" i="1"/>
  <c r="AE71" i="1"/>
  <c r="AE72" i="1"/>
  <c r="AE74" i="1"/>
  <c r="AE75" i="1"/>
  <c r="AE76" i="1"/>
  <c r="AE78" i="1"/>
  <c r="AE79" i="1"/>
  <c r="AE81" i="1"/>
  <c r="AE82" i="1"/>
  <c r="AE83" i="1"/>
  <c r="AE84" i="1"/>
  <c r="AE85" i="1"/>
  <c r="AE86" i="1"/>
  <c r="AE87" i="1"/>
  <c r="AE88" i="1"/>
  <c r="AE89" i="1"/>
  <c r="AE94" i="1"/>
  <c r="AE95" i="1"/>
  <c r="AE97" i="1"/>
  <c r="AE100" i="1"/>
  <c r="AE101" i="1"/>
  <c r="AE102" i="1"/>
  <c r="AE103" i="1"/>
  <c r="AE104" i="1"/>
  <c r="AE106" i="1"/>
  <c r="AE107" i="1"/>
  <c r="AE108" i="1"/>
  <c r="AE109" i="1"/>
  <c r="AE110" i="1"/>
  <c r="AE112" i="1"/>
  <c r="AE113" i="1"/>
  <c r="AE114" i="1"/>
  <c r="AE115" i="1"/>
  <c r="AE116" i="1"/>
  <c r="AE117" i="1"/>
  <c r="AE120" i="1"/>
  <c r="AE121" i="1"/>
  <c r="AE122" i="1"/>
  <c r="AE123" i="1"/>
  <c r="AE125" i="1"/>
  <c r="AE126" i="1"/>
  <c r="AE128" i="1"/>
  <c r="AE132" i="1"/>
  <c r="AE133" i="1"/>
  <c r="AE134" i="1"/>
  <c r="AE135" i="1"/>
  <c r="AE136" i="1"/>
  <c r="AE137" i="1"/>
  <c r="AE138" i="1"/>
  <c r="AE139" i="1"/>
  <c r="AE140" i="1"/>
  <c r="AE141" i="1"/>
  <c r="AE143" i="1"/>
  <c r="AE144" i="1"/>
  <c r="AE145" i="1"/>
  <c r="AE146" i="1"/>
  <c r="AE148" i="1"/>
  <c r="AE149" i="1"/>
  <c r="AE150" i="1"/>
  <c r="AE151" i="1"/>
  <c r="AE152" i="1"/>
  <c r="AE154" i="1"/>
  <c r="AE155" i="1"/>
  <c r="AE156" i="1"/>
  <c r="AE157" i="1"/>
  <c r="AE158" i="1"/>
  <c r="AE159" i="1"/>
  <c r="AE161" i="1"/>
  <c r="AE163" i="1"/>
  <c r="AE164" i="1"/>
  <c r="AE166" i="1"/>
  <c r="AE167" i="1"/>
  <c r="AE168" i="1"/>
  <c r="AE170" i="1"/>
  <c r="AE172" i="1"/>
  <c r="AE173" i="1"/>
  <c r="AE174" i="1"/>
  <c r="AE175" i="1"/>
  <c r="AE176" i="1"/>
  <c r="AE177" i="1"/>
  <c r="AE180" i="1"/>
  <c r="AE181" i="1"/>
  <c r="AE183" i="1"/>
  <c r="AE184" i="1"/>
  <c r="AE185" i="1"/>
  <c r="AE186" i="1"/>
  <c r="AE195" i="1"/>
  <c r="AE196" i="1"/>
  <c r="AE197" i="1"/>
  <c r="AE198" i="1"/>
  <c r="AE199" i="1"/>
  <c r="AE200" i="1"/>
  <c r="AE203" i="1"/>
  <c r="AE204" i="1"/>
  <c r="AE206" i="1"/>
  <c r="AE207" i="1"/>
  <c r="AE208" i="1"/>
  <c r="AE209" i="1"/>
  <c r="AE211" i="1"/>
  <c r="AE212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3" i="1"/>
  <c r="AE4" i="1"/>
  <c r="AE5" i="1"/>
  <c r="AE2" i="1"/>
  <c r="AB8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3" i="1"/>
  <c r="AB4" i="1"/>
  <c r="AB5" i="1"/>
  <c r="AB7" i="1"/>
  <c r="AB2" i="1"/>
  <c r="G6" i="7"/>
  <c r="F6" i="7"/>
  <c r="E6" i="7"/>
  <c r="Q134" i="9" l="1"/>
  <c r="G16" i="2"/>
  <c r="S133" i="5"/>
  <c r="Q133" i="5"/>
  <c r="Q178" i="4"/>
  <c r="Q179" i="4" s="1"/>
  <c r="H16" i="2" s="1"/>
  <c r="I16" i="2" l="1"/>
  <c r="K16" i="2" s="1"/>
  <c r="D16" i="2"/>
  <c r="F16" i="2" s="1"/>
  <c r="Q134" i="5"/>
  <c r="C245" i="1" l="1"/>
  <c r="C246" i="1"/>
  <c r="C247" i="1"/>
  <c r="C248" i="1"/>
  <c r="C249" i="1"/>
  <c r="C250" i="1"/>
  <c r="AF241" i="1"/>
  <c r="AF242" i="1"/>
  <c r="AF243" i="1"/>
  <c r="AF245" i="1"/>
  <c r="AF240" i="1"/>
  <c r="AF239" i="1"/>
  <c r="C236" i="1"/>
  <c r="C237" i="1"/>
  <c r="C238" i="1"/>
  <c r="C239" i="1"/>
  <c r="C240" i="1"/>
  <c r="C241" i="1"/>
  <c r="C242" i="1"/>
  <c r="C243" i="1"/>
  <c r="AF107" i="1"/>
  <c r="AF108" i="1"/>
  <c r="AF106" i="1"/>
  <c r="C231" i="1"/>
  <c r="C232" i="1"/>
  <c r="C233" i="1"/>
  <c r="C234" i="1"/>
  <c r="C235" i="1"/>
  <c r="C229" i="1"/>
  <c r="AF101" i="1"/>
  <c r="AF100" i="1"/>
  <c r="C225" i="1"/>
  <c r="C224" i="1"/>
  <c r="C226" i="1"/>
  <c r="C228" i="1"/>
  <c r="C230" i="1"/>
  <c r="C223" i="1"/>
  <c r="C222" i="1"/>
  <c r="AF24" i="1"/>
  <c r="AF25" i="1"/>
  <c r="AF18" i="1"/>
  <c r="AF19" i="1"/>
  <c r="AF21" i="1"/>
  <c r="AF22" i="1"/>
  <c r="AF17" i="1"/>
  <c r="AF16" i="1"/>
  <c r="AF15" i="1"/>
  <c r="AF14" i="1"/>
  <c r="C221" i="1"/>
  <c r="AF59" i="1"/>
  <c r="AF97" i="1"/>
  <c r="AF95" i="1"/>
  <c r="AF83" i="1"/>
  <c r="AF82" i="1"/>
  <c r="AF103" i="1"/>
  <c r="AF102" i="1"/>
  <c r="AF64" i="1"/>
  <c r="AF78" i="1"/>
  <c r="AF79" i="1"/>
  <c r="AF86" i="1"/>
  <c r="AF61" i="1"/>
  <c r="AF72" i="1"/>
  <c r="C220" i="1"/>
  <c r="C219" i="1"/>
  <c r="C218" i="1"/>
  <c r="AF66" i="1"/>
  <c r="AF88" i="1"/>
  <c r="AF67" i="1"/>
  <c r="AF65" i="1" l="1"/>
  <c r="AF63" i="1"/>
  <c r="AF84" i="1"/>
  <c r="AF75" i="1"/>
  <c r="AF87" i="1"/>
  <c r="AF85" i="1"/>
  <c r="AF71" i="1"/>
  <c r="AF57" i="1"/>
  <c r="AF74" i="1"/>
  <c r="C217" i="1"/>
  <c r="AF56" i="1"/>
  <c r="AF55" i="1"/>
  <c r="AF54" i="1"/>
  <c r="AF51" i="1"/>
  <c r="C216" i="1"/>
  <c r="C215" i="1"/>
  <c r="AF94" i="1"/>
  <c r="AF69" i="1"/>
  <c r="C214" i="1"/>
  <c r="C213" i="1"/>
  <c r="AF45" i="1"/>
  <c r="AF44" i="1"/>
  <c r="AF42" i="1"/>
  <c r="AF43" i="1"/>
  <c r="AF41" i="1"/>
  <c r="AF39" i="1"/>
  <c r="AF104" i="1"/>
  <c r="AF38" i="1"/>
  <c r="AF36" i="1"/>
  <c r="AF35" i="1"/>
  <c r="C212" i="1"/>
  <c r="C211" i="1"/>
  <c r="AF34" i="1"/>
  <c r="AF33" i="1"/>
  <c r="AF32" i="1"/>
  <c r="AF30" i="1"/>
  <c r="AF31" i="1"/>
  <c r="AF29" i="1"/>
  <c r="AF27" i="1"/>
  <c r="AF28" i="1"/>
  <c r="AF26" i="1"/>
  <c r="C209" i="1"/>
  <c r="AF76" i="1"/>
  <c r="AF3" i="1"/>
  <c r="AF4" i="1"/>
  <c r="AF5" i="1"/>
  <c r="AF6" i="1"/>
  <c r="AF7" i="1"/>
  <c r="AF8" i="1"/>
  <c r="AF9" i="1"/>
  <c r="AF10" i="1"/>
  <c r="AF11" i="1"/>
  <c r="AF12" i="1"/>
  <c r="AF168" i="1"/>
  <c r="AF167" i="1"/>
  <c r="C198" i="1"/>
  <c r="C199" i="1"/>
  <c r="C200" i="1"/>
  <c r="C201" i="1"/>
  <c r="C202" i="1"/>
  <c r="C203" i="1"/>
  <c r="C204" i="1"/>
  <c r="C205" i="1"/>
  <c r="C206" i="1"/>
  <c r="C207" i="1"/>
  <c r="C208" i="1"/>
  <c r="C193" i="1"/>
  <c r="C194" i="1"/>
  <c r="C195" i="1"/>
  <c r="C196" i="1"/>
  <c r="C197" i="1"/>
  <c r="AF89" i="1"/>
  <c r="AF37" i="1"/>
  <c r="AF13" i="1"/>
  <c r="C180" i="1"/>
  <c r="AF68" i="1"/>
  <c r="AF172" i="1"/>
  <c r="C176" i="1"/>
  <c r="C177" i="1"/>
  <c r="C178" i="1"/>
  <c r="C179" i="1"/>
  <c r="C181" i="1"/>
  <c r="C183" i="1"/>
  <c r="C184" i="1"/>
  <c r="C185" i="1"/>
  <c r="C186" i="1"/>
  <c r="C187" i="1"/>
  <c r="C188" i="1"/>
  <c r="C189" i="1"/>
  <c r="C190" i="1"/>
  <c r="C191" i="1"/>
  <c r="C192" i="1"/>
  <c r="AF170" i="1"/>
  <c r="AF70" i="1"/>
  <c r="AF60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3" i="1"/>
  <c r="AF164" i="1"/>
  <c r="AF165" i="1"/>
  <c r="AF166" i="1"/>
  <c r="AF114" i="1"/>
  <c r="AF115" i="1"/>
  <c r="AF116" i="1"/>
  <c r="AF117" i="1"/>
  <c r="AF118" i="1"/>
  <c r="AF120" i="1"/>
  <c r="AF121" i="1"/>
  <c r="AF122" i="1"/>
  <c r="AF123" i="1"/>
  <c r="AF124" i="1"/>
  <c r="AF126" i="1"/>
  <c r="AF127" i="1"/>
  <c r="AF128" i="1"/>
  <c r="AF129" i="1"/>
  <c r="AF130" i="1"/>
  <c r="AF131" i="1"/>
  <c r="AF132" i="1"/>
  <c r="AF133" i="1"/>
  <c r="AF134" i="1"/>
  <c r="AF111" i="1"/>
  <c r="AF112" i="1"/>
  <c r="AF113" i="1"/>
  <c r="AF110" i="1"/>
  <c r="AF109" i="1"/>
  <c r="C167" i="1"/>
  <c r="C162" i="1"/>
  <c r="C163" i="1"/>
  <c r="C164" i="1"/>
  <c r="C166" i="1"/>
  <c r="C168" i="1"/>
  <c r="C170" i="1"/>
  <c r="C172" i="1"/>
  <c r="C173" i="1"/>
  <c r="C174" i="1"/>
  <c r="C175" i="1"/>
  <c r="C161" i="1"/>
  <c r="V142" i="1"/>
  <c r="V141" i="1"/>
  <c r="V140" i="1"/>
  <c r="V139" i="1"/>
  <c r="V138" i="1"/>
  <c r="V25" i="1" l="1"/>
  <c r="V22" i="1"/>
  <c r="V11" i="1"/>
  <c r="V12" i="1"/>
  <c r="V13" i="1"/>
  <c r="V14" i="1"/>
  <c r="V15" i="1"/>
  <c r="V16" i="1"/>
  <c r="V17" i="1"/>
  <c r="V18" i="1"/>
  <c r="V19" i="1"/>
  <c r="V20" i="1"/>
  <c r="AF20" i="1" s="1"/>
  <c r="V21" i="1"/>
  <c r="V23" i="1"/>
  <c r="V24" i="1"/>
  <c r="V26" i="1"/>
  <c r="V27" i="1"/>
  <c r="V28" i="1"/>
  <c r="V29" i="1"/>
  <c r="V31" i="1"/>
  <c r="V32" i="1"/>
  <c r="V33" i="1"/>
  <c r="V34" i="1"/>
  <c r="V36" i="1"/>
  <c r="V37" i="1"/>
  <c r="V38" i="1"/>
  <c r="V39" i="1"/>
  <c r="V41" i="1"/>
  <c r="V42" i="1"/>
  <c r="V43" i="1"/>
  <c r="V44" i="1"/>
  <c r="V45" i="1"/>
  <c r="V46" i="1"/>
  <c r="V47" i="1"/>
  <c r="AF47" i="1" s="1"/>
  <c r="V48" i="1"/>
  <c r="V49" i="1"/>
  <c r="V50" i="1"/>
  <c r="V51" i="1"/>
  <c r="V52" i="1"/>
  <c r="V53" i="1"/>
  <c r="AF53" i="1" s="1"/>
  <c r="V54" i="1"/>
  <c r="V55" i="1"/>
  <c r="V56" i="1"/>
  <c r="V57" i="1"/>
  <c r="V58" i="1"/>
  <c r="V59" i="1"/>
  <c r="V60" i="1"/>
  <c r="V62" i="1"/>
  <c r="V63" i="1"/>
  <c r="V64" i="1"/>
  <c r="V65" i="1"/>
  <c r="V66" i="1"/>
  <c r="V67" i="1"/>
  <c r="V68" i="1"/>
  <c r="V69" i="1"/>
  <c r="V70" i="1"/>
  <c r="V71" i="1"/>
  <c r="V72" i="1"/>
  <c r="V73" i="1"/>
  <c r="V76" i="1"/>
  <c r="V77" i="1"/>
  <c r="V78" i="1"/>
  <c r="V79" i="1"/>
  <c r="V80" i="1"/>
  <c r="V81" i="1"/>
  <c r="AF81" i="1" s="1"/>
  <c r="V82" i="1"/>
  <c r="V83" i="1"/>
  <c r="V84" i="1"/>
  <c r="V85" i="1"/>
  <c r="V89" i="1"/>
  <c r="V90" i="1"/>
  <c r="V91" i="1"/>
  <c r="V92" i="1"/>
  <c r="V93" i="1"/>
  <c r="V94" i="1"/>
  <c r="V95" i="1"/>
  <c r="V99" i="1"/>
  <c r="V100" i="1"/>
  <c r="V101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AF125" i="1" s="1"/>
  <c r="V126" i="1"/>
  <c r="V128" i="1"/>
  <c r="V3" i="1"/>
  <c r="V4" i="1"/>
  <c r="V5" i="1"/>
  <c r="V6" i="1"/>
  <c r="V7" i="1"/>
  <c r="V8" i="1"/>
  <c r="V9" i="1"/>
  <c r="V10" i="1"/>
  <c r="V2" i="1"/>
  <c r="AF2" i="1" s="1"/>
  <c r="C64" i="1"/>
  <c r="R119" i="1" l="1"/>
  <c r="U119" i="1" s="1"/>
  <c r="AF119" i="1"/>
  <c r="AB119" i="1" s="1"/>
</calcChain>
</file>

<file path=xl/sharedStrings.xml><?xml version="1.0" encoding="utf-8"?>
<sst xmlns="http://schemas.openxmlformats.org/spreadsheetml/2006/main" count="7100" uniqueCount="399">
  <si>
    <t>SL</t>
  </si>
  <si>
    <t>ID</t>
  </si>
  <si>
    <t>Name</t>
  </si>
  <si>
    <t>Executive</t>
  </si>
  <si>
    <t>Sr. Executive</t>
  </si>
  <si>
    <t>Officer</t>
  </si>
  <si>
    <t>Jr. Officer</t>
  </si>
  <si>
    <t>BTL/KYL</t>
  </si>
  <si>
    <t>Trainee Officer</t>
  </si>
  <si>
    <t>?</t>
  </si>
  <si>
    <t>Salary_17</t>
  </si>
  <si>
    <t>Promotion_17</t>
  </si>
  <si>
    <t>Increment_17</t>
  </si>
  <si>
    <t>Department_17</t>
  </si>
  <si>
    <t>Position_17</t>
  </si>
  <si>
    <t>Business_Unit_17</t>
  </si>
  <si>
    <t>Increment_16</t>
  </si>
  <si>
    <t>Deputy General Manager</t>
  </si>
  <si>
    <t>Civil</t>
  </si>
  <si>
    <t>Commercial</t>
  </si>
  <si>
    <t>Administration</t>
  </si>
  <si>
    <t>Assistant Manager</t>
  </si>
  <si>
    <t>Md. Faruk Reza</t>
  </si>
  <si>
    <t>Md. Al Amin Ahmed</t>
  </si>
  <si>
    <t>Md. Mokhlesur Rahman Masum</t>
  </si>
  <si>
    <t>Manager - Protocol</t>
  </si>
  <si>
    <t>Receptionist</t>
  </si>
  <si>
    <t>Messenger</t>
  </si>
  <si>
    <t>Peon</t>
  </si>
  <si>
    <t>Cleaner</t>
  </si>
  <si>
    <t>Cook</t>
  </si>
  <si>
    <t>Assistant Cook</t>
  </si>
  <si>
    <t>Procurement</t>
  </si>
  <si>
    <t>Head of Procurement</t>
  </si>
  <si>
    <t>Pioneer Dnim Limited</t>
  </si>
  <si>
    <t>Jr. Executive</t>
  </si>
  <si>
    <t>Finance &amp; Accounts</t>
  </si>
  <si>
    <t>Audit</t>
  </si>
  <si>
    <t xml:space="preserve">Md. Kamruzzaman </t>
  </si>
  <si>
    <t>Mohammed Nurul Akter Chowdhury</t>
  </si>
  <si>
    <t xml:space="preserve">Md. Abdul Maleque </t>
  </si>
  <si>
    <t>Md. Alamgir Mia</t>
  </si>
  <si>
    <t>Ahsan Shiblee</t>
  </si>
  <si>
    <t>Mohammad Kawsar Molla</t>
  </si>
  <si>
    <t>Mir Muhshiuzzaman</t>
  </si>
  <si>
    <t>Moniruzzaman</t>
  </si>
  <si>
    <t>Mohammad Shawkot Alam</t>
  </si>
  <si>
    <t>Md. Sharforaz Hossain</t>
  </si>
  <si>
    <t>Md. Bablu</t>
  </si>
  <si>
    <t>Md. Ruhul Amin</t>
  </si>
  <si>
    <t>Md. Abdul Motin</t>
  </si>
  <si>
    <t>Md. Rofiqul Islam</t>
  </si>
  <si>
    <t>Muhammad Masum Billah</t>
  </si>
  <si>
    <t>Md. Oaliullah</t>
  </si>
  <si>
    <t>Md. Humayun Kabir</t>
  </si>
  <si>
    <t>Md. Shahadat Hossain</t>
  </si>
  <si>
    <t>Mohammad Kabir Hossain</t>
  </si>
  <si>
    <t>Md. Mehedi Hasan</t>
  </si>
  <si>
    <t>Md. Moniruzzaman</t>
  </si>
  <si>
    <t>Md. Abdus Sabur Talukder</t>
  </si>
  <si>
    <t>Md. Amin Ullah</t>
  </si>
  <si>
    <t>Md. Safiul Muznabin</t>
  </si>
  <si>
    <t>Md. Shafiqul Islam</t>
  </si>
  <si>
    <t>Yousuf Ahmmed</t>
  </si>
  <si>
    <t>Ashadullaha Ahamed</t>
  </si>
  <si>
    <t>Azmul Karim</t>
  </si>
  <si>
    <t>Md. Moshiur Rahman</t>
  </si>
  <si>
    <t>Md. Rabiul Alam</t>
  </si>
  <si>
    <t xml:space="preserve">Md. Obydul </t>
  </si>
  <si>
    <t>Md. Mosharaf Hossain</t>
  </si>
  <si>
    <t>Mohammad Shamsul Alam</t>
  </si>
  <si>
    <t>Md. Mustafizur Rahman</t>
  </si>
  <si>
    <t>Md. Nayem Hasan Khan Majlish</t>
  </si>
  <si>
    <t>Md. Rezaul Karim</t>
  </si>
  <si>
    <t>Md. Rashid Ahmed</t>
  </si>
  <si>
    <t>Rakibul Hasan Chowdhury</t>
  </si>
  <si>
    <t xml:space="preserve">Md. Saifur Rahaman </t>
  </si>
  <si>
    <t>Syed Mahmood Hassan</t>
  </si>
  <si>
    <t>Sohebul Islam</t>
  </si>
  <si>
    <t>Md. Foysal Hassan</t>
  </si>
  <si>
    <t xml:space="preserve">Md. Kamal Ahmed </t>
  </si>
  <si>
    <t>Asraful Islam</t>
  </si>
  <si>
    <t>Md. Al-Amin Khan</t>
  </si>
  <si>
    <t>Md. Arif Hossain</t>
  </si>
  <si>
    <t>Md. Shakamal</t>
  </si>
  <si>
    <t>Arshadul Haque Molla</t>
  </si>
  <si>
    <t>Mahamudun Nabi Ove</t>
  </si>
  <si>
    <t>Md. Aminul Islam</t>
  </si>
  <si>
    <t>Md. Borhan Uddin</t>
  </si>
  <si>
    <t xml:space="preserve">Sheikh Salahuddin </t>
  </si>
  <si>
    <t>Prabir Das</t>
  </si>
  <si>
    <t>Suman Chandra Malo</t>
  </si>
  <si>
    <t>Md. Anowarul Hoque Khan</t>
  </si>
  <si>
    <t>Md. Mustafa Kamal</t>
  </si>
  <si>
    <t>Raihan Mahmud</t>
  </si>
  <si>
    <t>Md. Arifuzzaman</t>
  </si>
  <si>
    <t>Md. Najmul Hushain</t>
  </si>
  <si>
    <t>Md. Zahidul Islam</t>
  </si>
  <si>
    <t>Pervez Mia</t>
  </si>
  <si>
    <t>Md. Abdul Karim</t>
  </si>
  <si>
    <t xml:space="preserve">Abdur Rahman </t>
  </si>
  <si>
    <t>Md. Bakiullah</t>
  </si>
  <si>
    <t xml:space="preserve">Habibullah </t>
  </si>
  <si>
    <t>Md. Shamim Hossain</t>
  </si>
  <si>
    <t>Md. Shahin Alom</t>
  </si>
  <si>
    <t>Mohiuddin Talukder</t>
  </si>
  <si>
    <t>Md. Rajib Chowkeder (Razu)</t>
  </si>
  <si>
    <t xml:space="preserve">Md. Azam Pasha </t>
  </si>
  <si>
    <t>Abul Bashar Sheikh</t>
  </si>
  <si>
    <t>Md. Anis Miah</t>
  </si>
  <si>
    <t>Jashim Uddin</t>
  </si>
  <si>
    <t>Md. Saiful Islam</t>
  </si>
  <si>
    <t>Mazharul</t>
  </si>
  <si>
    <t>Md. Alamgir Hossain</t>
  </si>
  <si>
    <t>Robin</t>
  </si>
  <si>
    <t>Mamun Hossen</t>
  </si>
  <si>
    <t>Sovo (Md. Shuvo Bhuiyan)</t>
  </si>
  <si>
    <t>Md. Tamiz Uddin</t>
  </si>
  <si>
    <t>Md. Foysal Hossen</t>
  </si>
  <si>
    <t>Md. Sohel Hossen</t>
  </si>
  <si>
    <t>Muhammad Ashraful Alam</t>
  </si>
  <si>
    <t>Mohammad Mehedi Hasan</t>
  </si>
  <si>
    <t>S.M. Mahdi Hasan</t>
  </si>
  <si>
    <t>Mahbub Alam</t>
  </si>
  <si>
    <t>Md. Shahidul Islam</t>
  </si>
  <si>
    <t>Md. Yeakub Ali</t>
  </si>
  <si>
    <t>Liton Apu Biswas</t>
  </si>
  <si>
    <t>Md. Mahmudul Alam Chapol</t>
  </si>
  <si>
    <t>Khandker Mustafizur Rahman</t>
  </si>
  <si>
    <t>Md. Mahabubur Rahman</t>
  </si>
  <si>
    <t>Manager</t>
  </si>
  <si>
    <t>Marketing &amp; Sales</t>
  </si>
  <si>
    <t>Head of Finance &amp; Accounts</t>
  </si>
  <si>
    <t>Mostafizur Rahman</t>
  </si>
  <si>
    <t>Gobinda Chandra Dey</t>
  </si>
  <si>
    <t>Sr. Officer</t>
  </si>
  <si>
    <t>Head of Audit</t>
  </si>
  <si>
    <t>Export Import Audit</t>
  </si>
  <si>
    <t>Import</t>
  </si>
  <si>
    <t>Incharge</t>
  </si>
  <si>
    <t>Md. Farid Uddin</t>
  </si>
  <si>
    <t>Asst. Officer</t>
  </si>
  <si>
    <t>Assistant Officer</t>
  </si>
  <si>
    <t>Md. Nahid Aktar</t>
  </si>
  <si>
    <t>Md. Neshan Sardar</t>
  </si>
  <si>
    <t>Md. Abdullah Al Noman</t>
  </si>
  <si>
    <t>Information Technology</t>
  </si>
  <si>
    <t>Programmer</t>
  </si>
  <si>
    <t>Mohmmad Omar Faruque</t>
  </si>
  <si>
    <t>Muhammad Momin Hossen</t>
  </si>
  <si>
    <t>Foysal Hossen</t>
  </si>
  <si>
    <t>General Manager</t>
  </si>
  <si>
    <t>Md. Rokunuzzaman Prince</t>
  </si>
  <si>
    <t>Md. Selim Suzan</t>
  </si>
  <si>
    <t>Tayubur Rahman</t>
  </si>
  <si>
    <t>Kh. Moyazzem Hossain</t>
  </si>
  <si>
    <t>Md. Khurshid Alam</t>
  </si>
  <si>
    <t>Mohammad Rajibur Rahman</t>
  </si>
  <si>
    <t>Abdullah Al Arif</t>
  </si>
  <si>
    <t>Md. Kibria Shake</t>
  </si>
  <si>
    <t>Md. Kabir</t>
  </si>
  <si>
    <t>Md. Modasser Hossain</t>
  </si>
  <si>
    <t>Ramiz Uddin Khan</t>
  </si>
  <si>
    <t>Md. Masud Yusuf Gazi</t>
  </si>
  <si>
    <t>Business_Unit_18</t>
  </si>
  <si>
    <t>Department_18</t>
  </si>
  <si>
    <t>Position_18</t>
  </si>
  <si>
    <t>Increment_18</t>
  </si>
  <si>
    <t>Salary_18</t>
  </si>
  <si>
    <t>Head of Marketing &amp; Sales</t>
  </si>
  <si>
    <t>Head of Marketing (North Zone)</t>
  </si>
  <si>
    <t>Head of Marketing (Middle Zone)</t>
  </si>
  <si>
    <t>Head of Marketing (Rotor)</t>
  </si>
  <si>
    <t>Employment</t>
  </si>
  <si>
    <t>Inactive</t>
  </si>
  <si>
    <t>Active</t>
  </si>
  <si>
    <t>Senior Executive</t>
  </si>
  <si>
    <t>Special 5,000</t>
  </si>
  <si>
    <t>Special 3,000</t>
  </si>
  <si>
    <t>Md. Ridoy Masud Bhuiyan</t>
  </si>
  <si>
    <t>-</t>
  </si>
  <si>
    <t>Promotion_18</t>
  </si>
  <si>
    <t>Transferred</t>
  </si>
  <si>
    <t>DOJ</t>
  </si>
  <si>
    <t>Asst. Manager</t>
  </si>
  <si>
    <t>Md. Kamruzzaman Azad</t>
  </si>
  <si>
    <t>Md. Tanmoy Bhuiyan</t>
  </si>
  <si>
    <t>S.M. Nuruddin Chowdhury</t>
  </si>
  <si>
    <t>Commerical</t>
  </si>
  <si>
    <t>Md. Mohibullah</t>
  </si>
  <si>
    <t>Md. Mohibur Rahman</t>
  </si>
  <si>
    <t>Ahmed Shadman Raihan</t>
  </si>
  <si>
    <t>Trainee</t>
  </si>
  <si>
    <t>Muhammad Milon Hossain Molla</t>
  </si>
  <si>
    <t>Mosharraf Hossain Chowdhury (Faisal)</t>
  </si>
  <si>
    <t>Legal &amp; Estate</t>
  </si>
  <si>
    <t>Md. Towfiqul Islam</t>
  </si>
  <si>
    <t>Navid Md. Rezaur Rahman</t>
  </si>
  <si>
    <t>Deputy Manager</t>
  </si>
  <si>
    <t>S.M. Towfique Imam Ayon</t>
  </si>
  <si>
    <t>Md. Shamsur Rahman Shams</t>
  </si>
  <si>
    <t>Pioneer Denim Limited</t>
  </si>
  <si>
    <t>Md. Miraz Molla</t>
  </si>
  <si>
    <t>Receiptionist</t>
  </si>
  <si>
    <t>Md. Karimul</t>
  </si>
  <si>
    <t>Lift Man</t>
  </si>
  <si>
    <t>Md. Jamal Hossain</t>
  </si>
  <si>
    <t>Asst. Cook</t>
  </si>
  <si>
    <t>Nasima</t>
  </si>
  <si>
    <t>Md. Masud Rana</t>
  </si>
  <si>
    <t>Md. Shazib Madbar</t>
  </si>
  <si>
    <t>Transport</t>
  </si>
  <si>
    <t>Driver</t>
  </si>
  <si>
    <t>Grade A</t>
  </si>
  <si>
    <t>Md. Lokman Hossain</t>
  </si>
  <si>
    <t>Md. Rubel</t>
  </si>
  <si>
    <t>Md. Abu Hanif</t>
  </si>
  <si>
    <t>Md. Asaduzzaman Fakir</t>
  </si>
  <si>
    <t>Grade B</t>
  </si>
  <si>
    <t>Md. Shahjada Bhuiyan</t>
  </si>
  <si>
    <t>Md. Masum Billah</t>
  </si>
  <si>
    <t>Audit Assistant</t>
  </si>
  <si>
    <t>Taslim Ahmed</t>
  </si>
  <si>
    <t>Md. Akkas Mian (Sehan)</t>
  </si>
  <si>
    <t>Md. Rashel</t>
  </si>
  <si>
    <t>Dinaj Mia</t>
  </si>
  <si>
    <t>Mohammad Kamruzzaman Noman</t>
  </si>
  <si>
    <t>Md. Mahmudul Hasan</t>
  </si>
  <si>
    <t>Tariqul Islam</t>
  </si>
  <si>
    <t>Chitta Ranjan Saha</t>
  </si>
  <si>
    <t>Md. Nur Mahamud</t>
  </si>
  <si>
    <t>Md. Shohidulla Hassan</t>
  </si>
  <si>
    <t>Md. Mizanur Rahman</t>
  </si>
  <si>
    <t>Shamsuzzaman</t>
  </si>
  <si>
    <t>Nabil Hasan</t>
  </si>
  <si>
    <t>Jalal Ahmmed</t>
  </si>
  <si>
    <t>Mohammad Tamjid Hasan</t>
  </si>
  <si>
    <t>Kumar Pretresh Bhattacharjce</t>
  </si>
  <si>
    <t>Marketing</t>
  </si>
  <si>
    <t>ARM</t>
  </si>
  <si>
    <t>JRM</t>
  </si>
  <si>
    <t>Grading Salary</t>
  </si>
  <si>
    <t>Md. Mojammel Hoque</t>
  </si>
  <si>
    <t>Ali Asrafuzzaman</t>
  </si>
  <si>
    <t>Mehedi Al Masud</t>
  </si>
  <si>
    <t>Costing</t>
  </si>
  <si>
    <t>Head of Costing</t>
  </si>
  <si>
    <t>Remarks_17</t>
  </si>
  <si>
    <t>Remarks_18</t>
  </si>
  <si>
    <t>Increment Amount</t>
  </si>
  <si>
    <t>Business_Unit_20</t>
  </si>
  <si>
    <t>Department_20</t>
  </si>
  <si>
    <t>Position_20</t>
  </si>
  <si>
    <t>Increment_20</t>
  </si>
  <si>
    <t>Promotion_20</t>
  </si>
  <si>
    <t>Salary_20</t>
  </si>
  <si>
    <t>Remarks_20</t>
  </si>
  <si>
    <t>As per Grading</t>
  </si>
  <si>
    <t>Customs</t>
  </si>
  <si>
    <t>Md. Habib Prodhan</t>
  </si>
  <si>
    <t>a</t>
  </si>
  <si>
    <t>Head of IT</t>
  </si>
  <si>
    <t>Software Engineer</t>
  </si>
  <si>
    <t>Emp_Status</t>
  </si>
  <si>
    <t>RM</t>
  </si>
  <si>
    <t>Special 32k</t>
  </si>
  <si>
    <t>Planning &amp; Coordination</t>
  </si>
  <si>
    <t>Head of Planning</t>
  </si>
  <si>
    <t>Head of Marketing</t>
  </si>
  <si>
    <t>AE: 25k, SP: 23k</t>
  </si>
  <si>
    <t>Head of Marketing - Woven</t>
  </si>
  <si>
    <t>Head of Marketing - North</t>
  </si>
  <si>
    <t>Head of Marketing - Middle</t>
  </si>
  <si>
    <t>Head of Marketing - South</t>
  </si>
  <si>
    <t>Md. Azam Ali</t>
  </si>
  <si>
    <t>AI: 3k, SP: 3k</t>
  </si>
  <si>
    <t>Estate &amp; Legal</t>
  </si>
  <si>
    <t>CFO</t>
  </si>
  <si>
    <t>Sp: 8k</t>
  </si>
  <si>
    <t>Security</t>
  </si>
  <si>
    <t>Head of Administration</t>
  </si>
  <si>
    <t>Protocol</t>
  </si>
  <si>
    <t>Utility</t>
  </si>
  <si>
    <t>Electrician</t>
  </si>
  <si>
    <t>PKBDL</t>
  </si>
  <si>
    <t>A</t>
  </si>
  <si>
    <t>Md. Abul Bashar Nasir</t>
  </si>
  <si>
    <t>B</t>
  </si>
  <si>
    <t>C</t>
  </si>
  <si>
    <t>Previous Salary</t>
  </si>
  <si>
    <t>(All)</t>
  </si>
  <si>
    <t>Row Labels</t>
  </si>
  <si>
    <t>(blank)</t>
  </si>
  <si>
    <t>Grand Total</t>
  </si>
  <si>
    <t>Sum of Increment_17</t>
  </si>
  <si>
    <t>Sum of Salary_17</t>
  </si>
  <si>
    <t>Perc_20</t>
  </si>
  <si>
    <t>Ashiqur Rahman Robin</t>
  </si>
  <si>
    <t>Md. Hasibul Huda</t>
  </si>
  <si>
    <t>Atekur Rahman Nayim</t>
  </si>
  <si>
    <t>Gazi Fayshal Ahmed</t>
  </si>
  <si>
    <t>Md. Zahidur Rahman</t>
  </si>
  <si>
    <t>Jalal Gazi</t>
  </si>
  <si>
    <t>Abrar Rahman Siam</t>
  </si>
  <si>
    <t>Md. Arafat Hossain</t>
  </si>
  <si>
    <t>Md. Munirul Islam</t>
  </si>
  <si>
    <t>Mohammad Rafiqul Islam</t>
  </si>
  <si>
    <t>Shahriar Mahmud</t>
  </si>
  <si>
    <t>Arifuzzaman Nur</t>
  </si>
  <si>
    <t>Md. Tanveer Ahmed</t>
  </si>
  <si>
    <t>Sheikh Mukarram Hussain</t>
  </si>
  <si>
    <t>Sumon Mollah</t>
  </si>
  <si>
    <t>Md. Habibur Rahman Siddique</t>
  </si>
  <si>
    <t>Md. Humayun Kobir</t>
  </si>
  <si>
    <t>Bayazid Hossen Gulzar</t>
  </si>
  <si>
    <t>Md. Ashiqur Rahman</t>
  </si>
  <si>
    <t>Md. Hemaet Ullah</t>
  </si>
  <si>
    <t>Mohammad Tofajjal Hossain</t>
  </si>
  <si>
    <t>Md. Tyoubur Rahman</t>
  </si>
  <si>
    <t>Md. Ashraful Alam</t>
  </si>
  <si>
    <t>Md. Hasan Uzzaman</t>
  </si>
  <si>
    <t>Mahbubur Rahman Chowdhury</t>
  </si>
  <si>
    <t>Md. Ariful Islam</t>
  </si>
  <si>
    <t>Omar Khaium</t>
  </si>
  <si>
    <t>Muhammad Zakir Hossain</t>
  </si>
  <si>
    <t>Md. Johan Islam</t>
  </si>
  <si>
    <t>Md. Emran Hossain Khan</t>
  </si>
  <si>
    <t>Md. Syed Mizanul Huq</t>
  </si>
  <si>
    <t>Asif Wares Khan</t>
  </si>
  <si>
    <t>Md. Kamal Hossain</t>
  </si>
  <si>
    <t>Abu Saleh Md Musa</t>
  </si>
  <si>
    <t>Md. Asad Ullah</t>
  </si>
  <si>
    <t>Daud Bin Jafar</t>
  </si>
  <si>
    <t>Md. Zakir Hossain</t>
  </si>
  <si>
    <t>Md. Arfatul Islam Tanjil</t>
  </si>
  <si>
    <t>Md. Mahedi Hasan</t>
  </si>
  <si>
    <t>Md. Hafijur Rahman</t>
  </si>
  <si>
    <t>Md. Sahed Ahmed</t>
  </si>
  <si>
    <t>Sohel Mahmud</t>
  </si>
  <si>
    <t>All Imran Khan</t>
  </si>
  <si>
    <t>Md. Anisur Rahman</t>
  </si>
  <si>
    <t>Md. Hanif Hussain Sujan</t>
  </si>
  <si>
    <t>Md. Ilius Hossain</t>
  </si>
  <si>
    <t>Rashed Mahmud Rasel</t>
  </si>
  <si>
    <t>Md. Areful Islam</t>
  </si>
  <si>
    <t>Rakibul Hasan</t>
  </si>
  <si>
    <t>Md. Mafen Bhuiyan</t>
  </si>
  <si>
    <t>Md. Maruf Hossain</t>
  </si>
  <si>
    <t>Muhammad Habibur Rahman FCMA</t>
  </si>
  <si>
    <t>Kazi Atiq Ullah</t>
  </si>
  <si>
    <t>Md. Shihab Kabir</t>
  </si>
  <si>
    <t>Imran Hossain</t>
  </si>
  <si>
    <t>Muhammad Al-Amin</t>
  </si>
  <si>
    <t>Ruhul Amin</t>
  </si>
  <si>
    <t>Md. Shahjahan Mia</t>
  </si>
  <si>
    <t>Dewan Md. Liaqat Ali</t>
  </si>
  <si>
    <t>S. M. Arif Ahmed</t>
  </si>
  <si>
    <t>Md. Tuffazzal Hussain</t>
  </si>
  <si>
    <t>Md. Sakawat Hossain Apon</t>
  </si>
  <si>
    <t>Md. Riad Hossain</t>
  </si>
  <si>
    <t>Md. Mohin</t>
  </si>
  <si>
    <t xml:space="preserve">Imam Hossain </t>
  </si>
  <si>
    <t>Md. Sohag Hossain</t>
  </si>
  <si>
    <t>Md. Mostafa Kamal</t>
  </si>
  <si>
    <t>Md. Salim Miha</t>
  </si>
  <si>
    <t>Sabuj (Md. Saiful)</t>
  </si>
  <si>
    <t>Md. Imran Hossain</t>
  </si>
  <si>
    <t>Abdul Rahim</t>
  </si>
  <si>
    <t>Md. Zillur Rahman</t>
  </si>
  <si>
    <t>Md Shafiqul Islam</t>
  </si>
  <si>
    <t>Zafor Ahammad</t>
  </si>
  <si>
    <t>Md. Suzad Shek</t>
  </si>
  <si>
    <t>Md. Bozlur Rahman</t>
  </si>
  <si>
    <t>Md. Mainuddin</t>
  </si>
  <si>
    <t>Previous Salary_20</t>
  </si>
  <si>
    <t>Previous Salary_18</t>
  </si>
  <si>
    <t>Perc_18</t>
  </si>
  <si>
    <t>AI: 5k, SP: 8k</t>
  </si>
  <si>
    <t>AI: 4k, SP: 6k</t>
  </si>
  <si>
    <t>AI: 0, SP: 32k</t>
  </si>
  <si>
    <t>Amount</t>
  </si>
  <si>
    <t>increment %</t>
  </si>
  <si>
    <t>Salary Dec'20</t>
  </si>
  <si>
    <t>% in Total</t>
  </si>
  <si>
    <t>No's</t>
  </si>
  <si>
    <t>Sum of Increment_20</t>
  </si>
  <si>
    <t>Sum of Perc_20</t>
  </si>
  <si>
    <t>Sum of Salary_20</t>
  </si>
  <si>
    <t>PDL</t>
  </si>
  <si>
    <t>Department Name</t>
  </si>
  <si>
    <t>Increasing %</t>
  </si>
  <si>
    <t>increasing % in Total</t>
  </si>
  <si>
    <t>No's of Employee Appraised</t>
  </si>
  <si>
    <t>Sum of Increment_18</t>
  </si>
  <si>
    <t>Total Salary at Dec'19</t>
  </si>
  <si>
    <t xml:space="preserve">% against Total </t>
  </si>
  <si>
    <t>Average Increment Per Person</t>
  </si>
  <si>
    <t>2019-2018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</si>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</sst>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10"/>
      <color theme="1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4" applyNumberFormat="0" applyFill="0" applyAlignment="0" applyProtection="0"/>
  </cellStyleXfs>
  <cellXfs count="109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3" fillId="0" borderId="0" xfId="1" applyNumberFormat="1" applyFont="1"/>
    <xf numFmtId="0" fontId="3" fillId="0" borderId="0" xfId="0" applyFont="1" applyAlignment="1">
      <alignment vertical="center" wrapText="1"/>
    </xf>
    <xf numFmtId="164" fontId="2" fillId="4" borderId="1" xfId="1" applyNumberFormat="1" applyFont="1" applyFill="1" applyBorder="1"/>
    <xf numFmtId="164" fontId="2" fillId="5" borderId="1" xfId="1" applyNumberFormat="1" applyFont="1" applyFill="1" applyBorder="1"/>
    <xf numFmtId="164" fontId="3" fillId="4" borderId="1" xfId="1" applyNumberFormat="1" applyFont="1" applyFill="1" applyBorder="1"/>
    <xf numFmtId="0" fontId="2" fillId="6" borderId="1" xfId="0" applyFont="1" applyFill="1" applyBorder="1"/>
    <xf numFmtId="164" fontId="3" fillId="6" borderId="1" xfId="1" applyNumberFormat="1" applyFont="1" applyFill="1" applyBorder="1"/>
    <xf numFmtId="164" fontId="2" fillId="6" borderId="1" xfId="1" applyNumberFormat="1" applyFont="1" applyFill="1" applyBorder="1"/>
    <xf numFmtId="164" fontId="3" fillId="5" borderId="1" xfId="1" applyNumberFormat="1" applyFont="1" applyFill="1" applyBorder="1"/>
    <xf numFmtId="0" fontId="2" fillId="7" borderId="1" xfId="0" applyFont="1" applyFill="1" applyBorder="1"/>
    <xf numFmtId="164" fontId="3" fillId="7" borderId="1" xfId="1" applyNumberFormat="1" applyFont="1" applyFill="1" applyBorder="1"/>
    <xf numFmtId="164" fontId="2" fillId="7" borderId="1" xfId="1" applyNumberFormat="1" applyFont="1" applyFill="1" applyBorder="1"/>
    <xf numFmtId="0" fontId="3" fillId="6" borderId="2" xfId="0" applyFont="1" applyFill="1" applyBorder="1" applyAlignment="1">
      <alignment vertical="center" wrapText="1"/>
    </xf>
    <xf numFmtId="0" fontId="2" fillId="6" borderId="3" xfId="0" applyFont="1" applyFill="1" applyBorder="1"/>
    <xf numFmtId="0" fontId="2" fillId="7" borderId="3" xfId="0" applyFont="1" applyFill="1" applyBorder="1"/>
    <xf numFmtId="0" fontId="3" fillId="6" borderId="1" xfId="0" applyFont="1" applyFill="1" applyBorder="1" applyAlignment="1">
      <alignment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vertical="center" wrapText="1"/>
    </xf>
    <xf numFmtId="0" fontId="2" fillId="0" borderId="1" xfId="0" applyFont="1" applyBorder="1"/>
    <xf numFmtId="164" fontId="3" fillId="0" borderId="1" xfId="1" applyNumberFormat="1" applyFont="1" applyBorder="1"/>
    <xf numFmtId="164" fontId="2" fillId="0" borderId="1" xfId="1" applyNumberFormat="1" applyFont="1" applyBorder="1"/>
    <xf numFmtId="0" fontId="2" fillId="2" borderId="1" xfId="0" applyFont="1" applyFill="1" applyBorder="1"/>
    <xf numFmtId="0" fontId="2" fillId="3" borderId="1" xfId="0" applyFont="1" applyFill="1" applyBorder="1"/>
    <xf numFmtId="164" fontId="3" fillId="8" borderId="1" xfId="1" applyNumberFormat="1" applyFont="1" applyFill="1" applyBorder="1" applyAlignment="1">
      <alignment vertical="center" wrapText="1"/>
    </xf>
    <xf numFmtId="164" fontId="3" fillId="0" borderId="3" xfId="1" applyNumberFormat="1" applyFont="1" applyBorder="1" applyAlignment="1">
      <alignment vertical="center" wrapText="1"/>
    </xf>
    <xf numFmtId="164" fontId="2" fillId="6" borderId="3" xfId="1" applyNumberFormat="1" applyFont="1" applyFill="1" applyBorder="1"/>
    <xf numFmtId="164" fontId="2" fillId="7" borderId="3" xfId="1" applyNumberFormat="1" applyFont="1" applyFill="1" applyBorder="1"/>
    <xf numFmtId="164" fontId="2" fillId="0" borderId="3" xfId="1" applyNumberFormat="1" applyFont="1" applyBorder="1"/>
    <xf numFmtId="164" fontId="2" fillId="8" borderId="1" xfId="1" applyNumberFormat="1" applyFont="1" applyFill="1" applyBorder="1"/>
    <xf numFmtId="0" fontId="2" fillId="8" borderId="1" xfId="0" applyFont="1" applyFill="1" applyBorder="1"/>
    <xf numFmtId="164" fontId="3" fillId="8" borderId="1" xfId="1" applyNumberFormat="1" applyFont="1" applyFill="1" applyBorder="1"/>
    <xf numFmtId="164" fontId="2" fillId="8" borderId="1" xfId="0" applyNumberFormat="1" applyFont="1" applyFill="1" applyBorder="1"/>
    <xf numFmtId="164" fontId="3" fillId="8" borderId="1" xfId="1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3" fillId="8" borderId="1" xfId="2" applyNumberFormat="1" applyFont="1" applyFill="1" applyBorder="1" applyAlignment="1">
      <alignment horizontal="center" vertical="center" wrapText="1"/>
    </xf>
    <xf numFmtId="10" fontId="2" fillId="8" borderId="1" xfId="2" applyNumberFormat="1" applyFont="1" applyFill="1" applyBorder="1" applyAlignment="1">
      <alignment horizontal="center"/>
    </xf>
    <xf numFmtId="10" fontId="2" fillId="6" borderId="1" xfId="2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Fill="1" applyBorder="1"/>
    <xf numFmtId="0" fontId="2" fillId="0" borderId="0" xfId="0" applyFont="1" applyFill="1" applyBorder="1"/>
    <xf numFmtId="164" fontId="3" fillId="0" borderId="0" xfId="1" applyNumberFormat="1" applyFont="1" applyFill="1" applyBorder="1"/>
    <xf numFmtId="10" fontId="2" fillId="0" borderId="0" xfId="2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164" fontId="3" fillId="0" borderId="1" xfId="1" applyNumberFormat="1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/>
    <xf numFmtId="164" fontId="2" fillId="0" borderId="1" xfId="0" applyNumberFormat="1" applyFont="1" applyFill="1" applyBorder="1"/>
    <xf numFmtId="164" fontId="3" fillId="0" borderId="1" xfId="1" applyNumberFormat="1" applyFont="1" applyFill="1" applyBorder="1"/>
    <xf numFmtId="10" fontId="2" fillId="0" borderId="1" xfId="2" applyNumberFormat="1" applyFont="1" applyFill="1" applyBorder="1" applyAlignment="1">
      <alignment horizontal="center"/>
    </xf>
    <xf numFmtId="0" fontId="2" fillId="9" borderId="1" xfId="0" applyFont="1" applyFill="1" applyBorder="1"/>
    <xf numFmtId="164" fontId="2" fillId="9" borderId="1" xfId="1" applyNumberFormat="1" applyFont="1" applyFill="1" applyBorder="1"/>
    <xf numFmtId="164" fontId="2" fillId="9" borderId="1" xfId="0" applyNumberFormat="1" applyFont="1" applyFill="1" applyBorder="1"/>
    <xf numFmtId="164" fontId="3" fillId="9" borderId="1" xfId="1" applyNumberFormat="1" applyFont="1" applyFill="1" applyBorder="1"/>
    <xf numFmtId="10" fontId="2" fillId="9" borderId="1" xfId="2" applyNumberFormat="1" applyFont="1" applyFill="1" applyBorder="1" applyAlignment="1">
      <alignment horizontal="center"/>
    </xf>
    <xf numFmtId="10" fontId="3" fillId="0" borderId="0" xfId="2" applyNumberFormat="1" applyFont="1" applyFill="1" applyBorder="1"/>
    <xf numFmtId="0" fontId="2" fillId="0" borderId="0" xfId="0" applyFont="1" applyAlignment="1">
      <alignment horizontal="center"/>
    </xf>
    <xf numFmtId="43" fontId="2" fillId="0" borderId="0" xfId="1" applyFont="1"/>
    <xf numFmtId="10" fontId="2" fillId="0" borderId="0" xfId="0" applyNumberFormat="1" applyFont="1"/>
    <xf numFmtId="10" fontId="2" fillId="0" borderId="0" xfId="2" applyNumberFormat="1" applyFont="1"/>
    <xf numFmtId="164" fontId="2" fillId="0" borderId="0" xfId="0" applyNumberFormat="1" applyFont="1"/>
    <xf numFmtId="164" fontId="2" fillId="0" borderId="1" xfId="1" applyNumberFormat="1" applyFont="1" applyFill="1" applyBorder="1" applyAlignment="1">
      <alignment horizontal="center"/>
    </xf>
    <xf numFmtId="10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8" borderId="5" xfId="0" applyFont="1" applyFill="1" applyBorder="1"/>
    <xf numFmtId="0" fontId="3" fillId="0" borderId="0" xfId="0" applyFont="1" applyFill="1" applyBorder="1" applyAlignment="1">
      <alignment vertical="center" wrapText="1"/>
    </xf>
    <xf numFmtId="43" fontId="2" fillId="0" borderId="0" xfId="1" applyNumberFormat="1" applyFont="1"/>
    <xf numFmtId="43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/>
    <xf numFmtId="43" fontId="2" fillId="0" borderId="0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horizontal="center" vertical="center"/>
    </xf>
    <xf numFmtId="43" fontId="3" fillId="0" borderId="4" xfId="3" applyNumberFormat="1" applyFont="1" applyAlignment="1">
      <alignment vertical="center"/>
    </xf>
    <xf numFmtId="0" fontId="3" fillId="0" borderId="4" xfId="3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164" fontId="2" fillId="0" borderId="1" xfId="1" applyNumberFormat="1" applyFont="1" applyBorder="1" applyAlignment="1">
      <alignment horizontal="center" vertical="center"/>
    </xf>
    <xf numFmtId="164" fontId="3" fillId="0" borderId="4" xfId="3" applyNumberFormat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10" borderId="1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3" fontId="2" fillId="10" borderId="1" xfId="1" applyNumberFormat="1" applyFont="1" applyFill="1" applyBorder="1" applyAlignment="1">
      <alignment vertical="center"/>
    </xf>
    <xf numFmtId="0" fontId="2" fillId="0" borderId="1" xfId="1" applyNumberFormat="1" applyFont="1" applyBorder="1" applyAlignment="1">
      <alignment horizontal="center" vertical="center"/>
    </xf>
    <xf numFmtId="10" fontId="2" fillId="6" borderId="1" xfId="2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43" fontId="2" fillId="10" borderId="1" xfId="1" applyFont="1" applyFill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0" fontId="2" fillId="6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4" xfId="3" applyFont="1" applyAlignment="1">
      <alignment vertical="center"/>
    </xf>
    <xf numFmtId="10" fontId="3" fillId="0" borderId="4" xfId="3" applyNumberFormat="1" applyFont="1" applyAlignment="1">
      <alignment horizontal="center" vertical="center"/>
    </xf>
    <xf numFmtId="10" fontId="3" fillId="0" borderId="4" xfId="3" applyNumberFormat="1" applyFont="1" applyAlignment="1">
      <alignment vertical="center"/>
    </xf>
    <xf numFmtId="164" fontId="2" fillId="0" borderId="0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6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Total" xfId="3" builtinId="25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Sheet5!$E$6:$G$6</c:f>
              <c:numCache>
                <c:formatCode>General</c:formatCode>
                <c:ptCount val="3"/>
                <c:pt idx="0">
                  <c:v>0</c:v>
                </c:pt>
                <c:pt idx="1">
                  <c:v>7000</c:v>
                </c:pt>
                <c:pt idx="2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B-49A0-B440-25A534CC3A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07609056"/>
        <c:axId val="307728512"/>
      </c:lineChart>
      <c:catAx>
        <c:axId val="307609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28512"/>
        <c:crosses val="autoZero"/>
        <c:auto val="1"/>
        <c:lblAlgn val="ctr"/>
        <c:lblOffset val="100"/>
        <c:noMultiLvlLbl val="0"/>
      </c:catAx>
      <c:valAx>
        <c:axId val="30772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760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36102231785159E-2"/>
          <c:y val="0.10039534037010375"/>
          <c:w val="0.90081544674275771"/>
          <c:h val="0.7941481423602163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TS_PDL!$S$5:$S$15</c:f>
              <c:strCache>
                <c:ptCount val="11"/>
                <c:pt idx="0">
                  <c:v>Marketing</c:v>
                </c:pt>
                <c:pt idx="1">
                  <c:v>Finance &amp; Accounts</c:v>
                </c:pt>
                <c:pt idx="2">
                  <c:v>Audit</c:v>
                </c:pt>
                <c:pt idx="3">
                  <c:v>Procurement</c:v>
                </c:pt>
                <c:pt idx="4">
                  <c:v>Commercial</c:v>
                </c:pt>
                <c:pt idx="5">
                  <c:v>Import</c:v>
                </c:pt>
                <c:pt idx="6">
                  <c:v>Customs</c:v>
                </c:pt>
                <c:pt idx="7">
                  <c:v>Planning &amp; Coordination</c:v>
                </c:pt>
                <c:pt idx="8">
                  <c:v>Costing</c:v>
                </c:pt>
                <c:pt idx="9">
                  <c:v>Information Technology</c:v>
                </c:pt>
                <c:pt idx="10">
                  <c:v>Administration</c:v>
                </c:pt>
              </c:strCache>
            </c:strRef>
          </c:cat>
          <c:val>
            <c:numRef>
              <c:f>TS_PDL!$T$5:$T$15</c:f>
              <c:numCache>
                <c:formatCode>General</c:formatCode>
                <c:ptCount val="11"/>
                <c:pt idx="0">
                  <c:v>40000</c:v>
                </c:pt>
                <c:pt idx="1">
                  <c:v>41000</c:v>
                </c:pt>
                <c:pt idx="2">
                  <c:v>8000</c:v>
                </c:pt>
                <c:pt idx="3">
                  <c:v>29000</c:v>
                </c:pt>
                <c:pt idx="4">
                  <c:v>40000</c:v>
                </c:pt>
                <c:pt idx="5">
                  <c:v>14000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E-4E86-AD4F-7A6F67E9B4D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TS_PDL!$S$5:$S$15</c:f>
              <c:strCache>
                <c:ptCount val="11"/>
                <c:pt idx="0">
                  <c:v>Marketing</c:v>
                </c:pt>
                <c:pt idx="1">
                  <c:v>Finance &amp; Accounts</c:v>
                </c:pt>
                <c:pt idx="2">
                  <c:v>Audit</c:v>
                </c:pt>
                <c:pt idx="3">
                  <c:v>Procurement</c:v>
                </c:pt>
                <c:pt idx="4">
                  <c:v>Commercial</c:v>
                </c:pt>
                <c:pt idx="5">
                  <c:v>Import</c:v>
                </c:pt>
                <c:pt idx="6">
                  <c:v>Customs</c:v>
                </c:pt>
                <c:pt idx="7">
                  <c:v>Planning &amp; Coordination</c:v>
                </c:pt>
                <c:pt idx="8">
                  <c:v>Costing</c:v>
                </c:pt>
                <c:pt idx="9">
                  <c:v>Information Technology</c:v>
                </c:pt>
                <c:pt idx="10">
                  <c:v>Administration</c:v>
                </c:pt>
              </c:strCache>
            </c:strRef>
          </c:cat>
          <c:val>
            <c:numRef>
              <c:f>TS_PDL!$U$5:$U$15</c:f>
              <c:numCache>
                <c:formatCode>General</c:formatCode>
                <c:ptCount val="11"/>
                <c:pt idx="0">
                  <c:v>116000</c:v>
                </c:pt>
                <c:pt idx="1">
                  <c:v>62000</c:v>
                </c:pt>
                <c:pt idx="2">
                  <c:v>8000</c:v>
                </c:pt>
                <c:pt idx="3">
                  <c:v>43000</c:v>
                </c:pt>
                <c:pt idx="4">
                  <c:v>86000</c:v>
                </c:pt>
                <c:pt idx="5">
                  <c:v>26000</c:v>
                </c:pt>
                <c:pt idx="6">
                  <c:v>15000</c:v>
                </c:pt>
                <c:pt idx="7">
                  <c:v>17000</c:v>
                </c:pt>
                <c:pt idx="8">
                  <c:v>3000</c:v>
                </c:pt>
                <c:pt idx="9">
                  <c:v>0</c:v>
                </c:pt>
                <c:pt idx="1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E-4E86-AD4F-7A6F67E9B4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4756479"/>
        <c:axId val="676031583"/>
      </c:barChart>
      <c:catAx>
        <c:axId val="64475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676031583"/>
        <c:crosses val="autoZero"/>
        <c:auto val="1"/>
        <c:lblAlgn val="ctr"/>
        <c:lblOffset val="100"/>
        <c:noMultiLvlLbl val="0"/>
      </c:catAx>
      <c:valAx>
        <c:axId val="676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5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0</xdr:row>
      <xdr:rowOff>3175</xdr:rowOff>
    </xdr:from>
    <xdr:to>
      <xdr:col>7</xdr:col>
      <xdr:colOff>320675</xdr:colOff>
      <xdr:row>14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1E5A4D-79BD-4925-905E-FC4251DAE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104586</xdr:colOff>
      <xdr:row>16</xdr:row>
      <xdr:rowOff>51546</xdr:rowOff>
    </xdr:from>
    <xdr:to>
      <xdr:col>8</xdr:col>
      <xdr:colOff>709705</xdr:colOff>
      <xdr:row>40</xdr:row>
      <xdr:rowOff>74705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E10C7D-F850-45E2-B366-7C9C943C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avid/01.%20Human%20Resource/01.%20Database/Employee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Sheet"/>
      <sheetName val="TS-PDL"/>
      <sheetName val="BTL"/>
      <sheetName val="KYL"/>
      <sheetName val="PKBDL"/>
      <sheetName val="PDL"/>
    </sheetNames>
    <sheetDataSet>
      <sheetData sheetId="0"/>
      <sheetData sheetId="1"/>
      <sheetData sheetId="2">
        <row r="1">
          <cell r="C1" t="str">
            <v xml:space="preserve">ID Number </v>
          </cell>
          <cell r="D1" t="str">
            <v>Company_Name</v>
          </cell>
          <cell r="E1" t="str">
            <v>Status</v>
          </cell>
          <cell r="F1" t="str">
            <v>J_SL</v>
          </cell>
          <cell r="G1" t="str">
            <v>Ref</v>
          </cell>
          <cell r="H1" t="str">
            <v>Title</v>
          </cell>
          <cell r="I1" t="str">
            <v>Gender</v>
          </cell>
          <cell r="J1" t="str">
            <v xml:space="preserve">Name </v>
          </cell>
          <cell r="K1" t="str">
            <v xml:space="preserve">Designation </v>
          </cell>
        </row>
        <row r="2">
          <cell r="C2">
            <v>10022004</v>
          </cell>
          <cell r="D2" t="str">
            <v>Badsha Textiles Ltd.</v>
          </cell>
          <cell r="E2" t="str">
            <v>Active</v>
          </cell>
          <cell r="F2">
            <v>102</v>
          </cell>
          <cell r="G2" t="str">
            <v>BTL/HO/APL/102.030814</v>
          </cell>
          <cell r="H2" t="str">
            <v>Mr.</v>
          </cell>
          <cell r="I2" t="str">
            <v>Male</v>
          </cell>
          <cell r="J2" t="str">
            <v xml:space="preserve">Sheikh Salahuddin </v>
          </cell>
          <cell r="K2" t="str">
            <v>General Manager</v>
          </cell>
        </row>
        <row r="3">
          <cell r="C3">
            <v>10052012</v>
          </cell>
          <cell r="D3" t="str">
            <v>Badsha Textiles Ltd.</v>
          </cell>
          <cell r="E3" t="str">
            <v>Active</v>
          </cell>
          <cell r="F3">
            <v>104</v>
          </cell>
          <cell r="G3" t="str">
            <v>BTL/HO/APL/104.011212</v>
          </cell>
          <cell r="H3" t="str">
            <v>Mr.</v>
          </cell>
          <cell r="I3" t="str">
            <v>Male</v>
          </cell>
          <cell r="J3" t="str">
            <v xml:space="preserve">Md. Abdul Maleque </v>
          </cell>
          <cell r="K3" t="str">
            <v>Head of Marketing (Middle Zone)</v>
          </cell>
        </row>
        <row r="4">
          <cell r="C4">
            <v>10062011</v>
          </cell>
          <cell r="D4" t="str">
            <v>Badsha Textiles Ltd.</v>
          </cell>
          <cell r="E4" t="str">
            <v>Active</v>
          </cell>
          <cell r="F4">
            <v>105</v>
          </cell>
          <cell r="G4" t="str">
            <v>BTL/HO/APL/105.230112</v>
          </cell>
          <cell r="H4" t="str">
            <v>Mr.</v>
          </cell>
          <cell r="I4" t="str">
            <v>Male</v>
          </cell>
          <cell r="J4" t="str">
            <v xml:space="preserve">Md. Kamruzzaman </v>
          </cell>
          <cell r="K4" t="str">
            <v>Head of  - Marketing</v>
          </cell>
        </row>
        <row r="5">
          <cell r="C5">
            <v>10081999</v>
          </cell>
          <cell r="D5" t="str">
            <v>Badsha Textiles Ltd.</v>
          </cell>
          <cell r="E5" t="str">
            <v>Active</v>
          </cell>
          <cell r="F5">
            <v>106</v>
          </cell>
          <cell r="G5" t="str">
            <v>BTL/HO/APL/106.130299</v>
          </cell>
          <cell r="H5" t="str">
            <v>Mr.</v>
          </cell>
          <cell r="I5" t="str">
            <v>Male</v>
          </cell>
          <cell r="J5" t="str">
            <v>Md. Bakiullah</v>
          </cell>
          <cell r="K5" t="str">
            <v>????</v>
          </cell>
        </row>
        <row r="6">
          <cell r="C6">
            <v>10132009</v>
          </cell>
          <cell r="D6" t="str">
            <v>Badsha Textiles Ltd.</v>
          </cell>
          <cell r="E6" t="str">
            <v>Active</v>
          </cell>
          <cell r="F6">
            <v>107</v>
          </cell>
          <cell r="G6" t="str">
            <v>BTL/HO/APL/107.190109</v>
          </cell>
          <cell r="H6" t="str">
            <v>Mr.</v>
          </cell>
          <cell r="I6" t="str">
            <v>Male</v>
          </cell>
          <cell r="J6" t="str">
            <v>Ahsan Shiblee</v>
          </cell>
          <cell r="K6" t="str">
            <v>Assistant Manager - Marketing</v>
          </cell>
        </row>
        <row r="7">
          <cell r="C7">
            <v>10152009</v>
          </cell>
          <cell r="D7" t="str">
            <v>Badsha Textiles Ltd.</v>
          </cell>
          <cell r="E7" t="str">
            <v>Active</v>
          </cell>
          <cell r="F7">
            <v>112</v>
          </cell>
          <cell r="G7" t="str">
            <v>BTL/HO/APL/112.080209</v>
          </cell>
          <cell r="H7" t="str">
            <v>Mr.</v>
          </cell>
          <cell r="I7" t="str">
            <v>Male</v>
          </cell>
          <cell r="J7" t="str">
            <v>Md. Mustafa Kamal</v>
          </cell>
          <cell r="K7" t="str">
            <v>Senior Executive - Commercial</v>
          </cell>
        </row>
        <row r="8">
          <cell r="C8">
            <v>10192011</v>
          </cell>
          <cell r="D8" t="str">
            <v>Badsha Textiles Ltd.</v>
          </cell>
          <cell r="E8" t="str">
            <v>Active</v>
          </cell>
          <cell r="F8">
            <v>108</v>
          </cell>
          <cell r="G8" t="str">
            <v>BTL/HO/APL/108.041011</v>
          </cell>
          <cell r="H8" t="str">
            <v>Mr.</v>
          </cell>
          <cell r="I8" t="str">
            <v>Male</v>
          </cell>
          <cell r="J8" t="str">
            <v xml:space="preserve">Md. Kamal Ahmed </v>
          </cell>
          <cell r="K8" t="str">
            <v>Junior Officer - Commercial</v>
          </cell>
        </row>
        <row r="9">
          <cell r="C9">
            <v>10212011</v>
          </cell>
          <cell r="D9" t="str">
            <v>Badsha Textiles Ltd.</v>
          </cell>
          <cell r="E9" t="str">
            <v>Active</v>
          </cell>
          <cell r="F9">
            <v>109</v>
          </cell>
          <cell r="G9" t="str">
            <v>BTL/HO/APL/109.281211</v>
          </cell>
          <cell r="H9" t="str">
            <v>Mr.</v>
          </cell>
          <cell r="I9" t="str">
            <v>Male</v>
          </cell>
          <cell r="J9" t="str">
            <v>Md. Shakamal</v>
          </cell>
          <cell r="K9" t="str">
            <v>???</v>
          </cell>
        </row>
        <row r="10">
          <cell r="C10">
            <v>10222012</v>
          </cell>
          <cell r="D10" t="str">
            <v>Badsha Textiles Ltd.</v>
          </cell>
          <cell r="E10" t="str">
            <v>Active</v>
          </cell>
          <cell r="F10">
            <v>113</v>
          </cell>
          <cell r="G10" t="str">
            <v>BTL/HO/APL/113.201112</v>
          </cell>
          <cell r="H10" t="str">
            <v>Mr.</v>
          </cell>
          <cell r="I10" t="str">
            <v>Male</v>
          </cell>
          <cell r="J10" t="str">
            <v>Ashiqur Rahman Robin</v>
          </cell>
          <cell r="K10" t="str">
            <v>???</v>
          </cell>
        </row>
        <row r="11">
          <cell r="C11">
            <v>10242004</v>
          </cell>
          <cell r="D11" t="str">
            <v>Badsha Textiles Ltd.</v>
          </cell>
          <cell r="E11" t="str">
            <v>Active</v>
          </cell>
          <cell r="F11">
            <v>110</v>
          </cell>
          <cell r="G11" t="str">
            <v>BTL/HO/APL/110.050804</v>
          </cell>
          <cell r="H11" t="str">
            <v>Mr.</v>
          </cell>
          <cell r="I11" t="str">
            <v>Male</v>
          </cell>
          <cell r="J11" t="str">
            <v xml:space="preserve">Md. Obydul </v>
          </cell>
          <cell r="K11" t="str">
            <v>Executive - Procurement</v>
          </cell>
        </row>
        <row r="12">
          <cell r="C12">
            <v>10632016</v>
          </cell>
          <cell r="D12" t="str">
            <v>Badsha Textiles Ltd.</v>
          </cell>
          <cell r="E12" t="str">
            <v>Active</v>
          </cell>
          <cell r="F12">
            <v>111</v>
          </cell>
          <cell r="G12" t="str">
            <v>BTL/HO/APL/111.020516</v>
          </cell>
          <cell r="H12" t="str">
            <v>Mr.</v>
          </cell>
          <cell r="I12" t="str">
            <v>Male</v>
          </cell>
          <cell r="J12" t="str">
            <v>Abul Bashar Sheikh</v>
          </cell>
          <cell r="K12" t="str">
            <v>Cleaner</v>
          </cell>
        </row>
        <row r="13">
          <cell r="C13">
            <v>10392012</v>
          </cell>
          <cell r="D13" t="str">
            <v>Badsha Textiles Ltd.</v>
          </cell>
          <cell r="E13" t="str">
            <v>Active</v>
          </cell>
          <cell r="F13">
            <v>114</v>
          </cell>
          <cell r="G13" t="str">
            <v>BTL/HO/APL/114.220512</v>
          </cell>
          <cell r="H13" t="str">
            <v>Mr.</v>
          </cell>
          <cell r="I13" t="str">
            <v>Male</v>
          </cell>
          <cell r="J13" t="str">
            <v>Md. Abdul Motin</v>
          </cell>
          <cell r="K13" t="str">
            <v>Officer - Finance &amp; Accounts</v>
          </cell>
        </row>
        <row r="14">
          <cell r="C14">
            <v>10402012</v>
          </cell>
          <cell r="D14" t="str">
            <v>Badsha Textiles Ltd.</v>
          </cell>
          <cell r="E14" t="str">
            <v>Active</v>
          </cell>
          <cell r="F14">
            <v>115</v>
          </cell>
          <cell r="G14" t="str">
            <v>BTL/HO/APL/115.050912</v>
          </cell>
          <cell r="H14" t="str">
            <v>Mr.</v>
          </cell>
          <cell r="I14" t="str">
            <v>Male</v>
          </cell>
          <cell r="J14" t="str">
            <v>Md. Rofiqul Islam</v>
          </cell>
          <cell r="K14" t="str">
            <v>Officer - Finance &amp; Accounts</v>
          </cell>
        </row>
        <row r="15">
          <cell r="C15">
            <v>10412012</v>
          </cell>
          <cell r="D15" t="str">
            <v>Badsha Textiles Ltd.</v>
          </cell>
          <cell r="E15" t="str">
            <v>Active</v>
          </cell>
          <cell r="F15">
            <v>116</v>
          </cell>
          <cell r="G15" t="str">
            <v>BTL/HO/APL/116.121212</v>
          </cell>
          <cell r="H15" t="str">
            <v>Mr.</v>
          </cell>
          <cell r="I15" t="str">
            <v>Male</v>
          </cell>
          <cell r="J15" t="str">
            <v>Md. Abdul Karim</v>
          </cell>
          <cell r="K15" t="str">
            <v>???</v>
          </cell>
        </row>
        <row r="16">
          <cell r="C16">
            <v>10431999</v>
          </cell>
          <cell r="D16" t="str">
            <v>Badsha Textiles Ltd.</v>
          </cell>
          <cell r="E16" t="str">
            <v>Active</v>
          </cell>
          <cell r="F16">
            <v>117</v>
          </cell>
          <cell r="G16" t="str">
            <v>BTL/HO/APL/117.170799</v>
          </cell>
          <cell r="H16" t="str">
            <v>Mr.</v>
          </cell>
          <cell r="I16" t="str">
            <v>Male</v>
          </cell>
          <cell r="J16" t="str">
            <v xml:space="preserve">Md. Azam Pasha </v>
          </cell>
          <cell r="K16" t="str">
            <v>Peon</v>
          </cell>
        </row>
        <row r="17">
          <cell r="C17">
            <v>10522014</v>
          </cell>
          <cell r="D17" t="str">
            <v>Badsha Textiles Ltd.</v>
          </cell>
          <cell r="E17" t="str">
            <v>Active</v>
          </cell>
          <cell r="F17">
            <v>118</v>
          </cell>
          <cell r="G17" t="str">
            <v>BTL/HO/APL/118.250214</v>
          </cell>
          <cell r="H17" t="str">
            <v>Mr.</v>
          </cell>
          <cell r="I17" t="str">
            <v>Male</v>
          </cell>
          <cell r="J17" t="str">
            <v>Arshadul Haque Molla</v>
          </cell>
          <cell r="K17" t="str">
            <v>???</v>
          </cell>
        </row>
        <row r="18">
          <cell r="C18">
            <v>10542014</v>
          </cell>
          <cell r="D18" t="str">
            <v>Badsha Textiles Ltd.</v>
          </cell>
          <cell r="E18" t="str">
            <v>Active</v>
          </cell>
          <cell r="F18">
            <v>119</v>
          </cell>
          <cell r="G18" t="str">
            <v>BTL/HO/APL/119.010114</v>
          </cell>
          <cell r="H18" t="str">
            <v>Mr.</v>
          </cell>
          <cell r="I18" t="str">
            <v>Male</v>
          </cell>
          <cell r="J18" t="str">
            <v>Md. Foysal Hassan</v>
          </cell>
          <cell r="K18" t="str">
            <v>Executive - Commercial</v>
          </cell>
        </row>
        <row r="19">
          <cell r="C19">
            <v>10602007</v>
          </cell>
          <cell r="D19" t="str">
            <v>Badsha Textiles Ltd.</v>
          </cell>
          <cell r="E19" t="str">
            <v>Active</v>
          </cell>
          <cell r="F19">
            <v>120</v>
          </cell>
          <cell r="G19" t="str">
            <v>BTL/HO/APL/120.010407</v>
          </cell>
          <cell r="H19" t="str">
            <v>Mr.</v>
          </cell>
          <cell r="I19" t="str">
            <v>Male</v>
          </cell>
          <cell r="J19" t="str">
            <v>Md. Aminul Islam</v>
          </cell>
          <cell r="K19" t="str">
            <v>???</v>
          </cell>
        </row>
        <row r="20">
          <cell r="C20">
            <v>10612015</v>
          </cell>
          <cell r="D20" t="str">
            <v>Badsha Textiles Ltd.</v>
          </cell>
          <cell r="E20" t="str">
            <v>Active</v>
          </cell>
          <cell r="F20">
            <v>121</v>
          </cell>
          <cell r="G20" t="str">
            <v>BTL/HO/APL/121.260215</v>
          </cell>
          <cell r="H20" t="str">
            <v>Mr.</v>
          </cell>
          <cell r="I20" t="str">
            <v>Male</v>
          </cell>
          <cell r="J20" t="str">
            <v>Md. Abu Hanif</v>
          </cell>
          <cell r="K20" t="str">
            <v>Driver</v>
          </cell>
        </row>
        <row r="21">
          <cell r="C21">
            <v>10692016</v>
          </cell>
          <cell r="D21" t="str">
            <v>Badsha Textiles Ltd.</v>
          </cell>
          <cell r="E21" t="str">
            <v>Active</v>
          </cell>
          <cell r="F21">
            <v>122</v>
          </cell>
          <cell r="G21" t="str">
            <v>BTL/HO/APL/122.190716</v>
          </cell>
          <cell r="H21" t="str">
            <v>Mr.</v>
          </cell>
          <cell r="I21" t="str">
            <v>Male</v>
          </cell>
          <cell r="J21" t="str">
            <v>Md. Oaliullah</v>
          </cell>
          <cell r="K21" t="str">
            <v>Executive - Finance &amp; Accounts</v>
          </cell>
        </row>
        <row r="22">
          <cell r="C22">
            <v>10712016</v>
          </cell>
          <cell r="D22" t="str">
            <v>Badsha Textiles Ltd.</v>
          </cell>
          <cell r="E22" t="str">
            <v>Active</v>
          </cell>
          <cell r="F22">
            <v>123</v>
          </cell>
          <cell r="G22" t="str">
            <v>BTL/HO/APL/123.100816</v>
          </cell>
          <cell r="H22" t="str">
            <v>Mr.</v>
          </cell>
          <cell r="I22" t="str">
            <v>Male</v>
          </cell>
          <cell r="J22" t="str">
            <v>Md. Amin Ullah</v>
          </cell>
          <cell r="K22" t="str">
            <v>Assistant Manager - Audit</v>
          </cell>
        </row>
        <row r="23">
          <cell r="C23">
            <v>10722016</v>
          </cell>
          <cell r="D23" t="str">
            <v>Badsha Textiles Ltd.</v>
          </cell>
          <cell r="E23" t="str">
            <v>Active</v>
          </cell>
          <cell r="F23">
            <v>124</v>
          </cell>
          <cell r="G23" t="str">
            <v>BTL/HO/APL/124.010816</v>
          </cell>
          <cell r="H23" t="str">
            <v>Mr.</v>
          </cell>
          <cell r="I23" t="str">
            <v>Male</v>
          </cell>
          <cell r="J23" t="str">
            <v>Muhammad Masum Billah</v>
          </cell>
          <cell r="K23" t="str">
            <v>Junior Officer - Finance &amp; Accounts</v>
          </cell>
        </row>
        <row r="24">
          <cell r="C24">
            <v>10732016</v>
          </cell>
          <cell r="D24" t="str">
            <v>Badsha Textiles Ltd.</v>
          </cell>
          <cell r="E24" t="str">
            <v>Active</v>
          </cell>
          <cell r="F24">
            <v>125</v>
          </cell>
          <cell r="G24" t="str">
            <v>BTL/HO/APL/125.200816</v>
          </cell>
          <cell r="H24" t="str">
            <v>Mr.</v>
          </cell>
          <cell r="I24" t="str">
            <v>Male</v>
          </cell>
          <cell r="J24" t="str">
            <v>Md. Bablu</v>
          </cell>
          <cell r="K24" t="str">
            <v>Executive - Finance &amp; Accounts</v>
          </cell>
        </row>
        <row r="25">
          <cell r="C25">
            <v>10752016</v>
          </cell>
          <cell r="D25" t="str">
            <v>Badsha Textiles Ltd.</v>
          </cell>
          <cell r="E25" t="str">
            <v>Active</v>
          </cell>
          <cell r="F25">
            <v>126</v>
          </cell>
          <cell r="G25" t="str">
            <v>BTL/HO/APL/126.180916</v>
          </cell>
          <cell r="H25" t="str">
            <v>Mr.</v>
          </cell>
          <cell r="I25" t="str">
            <v>Male</v>
          </cell>
          <cell r="J25" t="str">
            <v>Md. Sharforaz Hossain</v>
          </cell>
          <cell r="K25" t="str">
            <v>Executive - Finance &amp; Accounts</v>
          </cell>
        </row>
        <row r="26">
          <cell r="C26">
            <v>10782016</v>
          </cell>
          <cell r="D26" t="str">
            <v>Badsha Textiles Ltd.</v>
          </cell>
          <cell r="E26" t="str">
            <v>Active</v>
          </cell>
          <cell r="F26">
            <v>127</v>
          </cell>
          <cell r="G26" t="str">
            <v>BTL/HO/APL/127.201216</v>
          </cell>
          <cell r="H26" t="str">
            <v>Mr.</v>
          </cell>
          <cell r="I26" t="str">
            <v>Male</v>
          </cell>
          <cell r="J26" t="str">
            <v>Mohammad Kawsar Molla</v>
          </cell>
          <cell r="K26" t="str">
            <v>Head of Finance &amp; Accounts</v>
          </cell>
        </row>
        <row r="27">
          <cell r="C27">
            <v>10852017</v>
          </cell>
          <cell r="D27" t="str">
            <v>Badsha Textiles Ltd.</v>
          </cell>
          <cell r="E27" t="str">
            <v>Active</v>
          </cell>
          <cell r="F27">
            <v>128</v>
          </cell>
          <cell r="G27" t="str">
            <v>BTL/HO/APL/128.010417</v>
          </cell>
          <cell r="H27" t="str">
            <v>Mr.</v>
          </cell>
          <cell r="I27" t="str">
            <v>Male</v>
          </cell>
          <cell r="J27" t="str">
            <v>Mohammad Shamsul Alam</v>
          </cell>
          <cell r="K27" t="str">
            <v>Executive - Procurement</v>
          </cell>
        </row>
        <row r="28">
          <cell r="C28">
            <v>10982017</v>
          </cell>
          <cell r="D28" t="str">
            <v>Badsha Textiles Ltd.</v>
          </cell>
          <cell r="E28" t="str">
            <v>Active</v>
          </cell>
          <cell r="F28">
            <v>129</v>
          </cell>
          <cell r="G28" t="str">
            <v>BTL/HO/APL/129.311217</v>
          </cell>
          <cell r="H28" t="str">
            <v>Mr.</v>
          </cell>
          <cell r="I28" t="str">
            <v>Male</v>
          </cell>
          <cell r="J28" t="str">
            <v>Md. Nayem Hasan Khan Majlish</v>
          </cell>
          <cell r="K28" t="str">
            <v>Senior Executive - Procurement</v>
          </cell>
        </row>
        <row r="29">
          <cell r="C29">
            <v>11012018</v>
          </cell>
          <cell r="D29" t="str">
            <v>Badsha Textiles Ltd.</v>
          </cell>
          <cell r="E29" t="str">
            <v>Active</v>
          </cell>
          <cell r="F29">
            <v>130</v>
          </cell>
          <cell r="G29" t="str">
            <v>BTL/HO/APL/130.030518</v>
          </cell>
          <cell r="H29" t="str">
            <v>Mr.</v>
          </cell>
          <cell r="I29" t="str">
            <v>Male</v>
          </cell>
          <cell r="J29" t="str">
            <v>Mohammad Kabir Hossain</v>
          </cell>
          <cell r="K29" t="str">
            <v>Head of Audit</v>
          </cell>
        </row>
        <row r="30">
          <cell r="C30">
            <v>11042018</v>
          </cell>
          <cell r="D30" t="str">
            <v>Badsha Textiles Ltd.</v>
          </cell>
          <cell r="E30" t="str">
            <v>Active</v>
          </cell>
          <cell r="F30">
            <v>131</v>
          </cell>
          <cell r="G30" t="str">
            <v>BTL/HO/APL/131.260718</v>
          </cell>
          <cell r="H30" t="str">
            <v>Mr.</v>
          </cell>
          <cell r="I30" t="str">
            <v>Male</v>
          </cell>
          <cell r="J30" t="str">
            <v>S.M. Nuruddin Chowdhury</v>
          </cell>
          <cell r="K30" t="str">
            <v>Manager - Commercial</v>
          </cell>
        </row>
        <row r="31">
          <cell r="C31">
            <v>11082018</v>
          </cell>
          <cell r="D31" t="str">
            <v>Badsha Textiles Ltd.</v>
          </cell>
          <cell r="E31" t="str">
            <v>Active</v>
          </cell>
          <cell r="F31">
            <v>132</v>
          </cell>
          <cell r="G31" t="str">
            <v>BTL/HO/APL/132.040918</v>
          </cell>
          <cell r="H31" t="str">
            <v>Mr.</v>
          </cell>
          <cell r="I31" t="str">
            <v>Male</v>
          </cell>
          <cell r="J31" t="str">
            <v>Md. Miraz Molla</v>
          </cell>
          <cell r="K31" t="str">
            <v xml:space="preserve">Receiptionist </v>
          </cell>
        </row>
        <row r="32">
          <cell r="C32">
            <v>11092018</v>
          </cell>
          <cell r="D32" t="str">
            <v>Badsha Textiles Ltd.</v>
          </cell>
          <cell r="E32" t="str">
            <v>Active</v>
          </cell>
          <cell r="F32">
            <v>133</v>
          </cell>
          <cell r="G32" t="str">
            <v>BTL/HO/APL/133.010918</v>
          </cell>
          <cell r="H32" t="str">
            <v>Mr.</v>
          </cell>
          <cell r="I32" t="str">
            <v>Male</v>
          </cell>
          <cell r="J32" t="str">
            <v>Mosharraf Hossain Chowdhury</v>
          </cell>
          <cell r="K32" t="str">
            <v>DGM - Commercial</v>
          </cell>
        </row>
        <row r="33">
          <cell r="C33">
            <v>11122018</v>
          </cell>
          <cell r="D33" t="str">
            <v>Badsha Textiles Ltd.</v>
          </cell>
          <cell r="E33" t="str">
            <v>Active</v>
          </cell>
          <cell r="F33">
            <v>134</v>
          </cell>
          <cell r="G33" t="str">
            <v>BTL/HO/APL/134.011018</v>
          </cell>
          <cell r="H33" t="str">
            <v>Mr.</v>
          </cell>
          <cell r="I33" t="str">
            <v>Male</v>
          </cell>
          <cell r="J33" t="str">
            <v>Md. Mohibullah</v>
          </cell>
          <cell r="K33" t="str">
            <v>Trainee - Commercial</v>
          </cell>
        </row>
        <row r="34">
          <cell r="C34">
            <v>11132018</v>
          </cell>
          <cell r="D34" t="str">
            <v>Badsha Textiles Ltd.</v>
          </cell>
          <cell r="E34" t="str">
            <v>Active</v>
          </cell>
          <cell r="F34">
            <v>135</v>
          </cell>
          <cell r="G34" t="str">
            <v>BTL/HO/APL/135.101018</v>
          </cell>
          <cell r="H34" t="str">
            <v>Mr.</v>
          </cell>
          <cell r="I34" t="str">
            <v>Male</v>
          </cell>
          <cell r="J34" t="str">
            <v>Md. Kamruzzaman Azad</v>
          </cell>
          <cell r="K34" t="str">
            <v>Senior Executive - Commercial</v>
          </cell>
        </row>
        <row r="35">
          <cell r="C35">
            <v>11242018</v>
          </cell>
          <cell r="D35" t="str">
            <v>Badsha Textiles Ltd.</v>
          </cell>
          <cell r="E35" t="str">
            <v>Active</v>
          </cell>
          <cell r="F35">
            <v>136</v>
          </cell>
          <cell r="G35" t="str">
            <v>BTL/HO/APL/136.131118</v>
          </cell>
          <cell r="H35" t="str">
            <v>Mr.</v>
          </cell>
          <cell r="I35" t="str">
            <v>Male</v>
          </cell>
          <cell r="J35" t="str">
            <v>Md. Towfiqul Islam</v>
          </cell>
          <cell r="K35" t="str">
            <v>Assistant Manager - Estate &amp; Legal</v>
          </cell>
        </row>
        <row r="36">
          <cell r="C36">
            <v>11252018</v>
          </cell>
          <cell r="D36" t="str">
            <v>Badsha Textiles Ltd.</v>
          </cell>
          <cell r="E36" t="str">
            <v>Active</v>
          </cell>
          <cell r="F36">
            <v>137</v>
          </cell>
          <cell r="G36" t="str">
            <v>BTL/HO/APL/137.241118</v>
          </cell>
          <cell r="H36" t="str">
            <v>Mr.</v>
          </cell>
          <cell r="I36" t="str">
            <v>Male</v>
          </cell>
          <cell r="J36" t="str">
            <v>Md. Mohibur Rahman</v>
          </cell>
          <cell r="K36" t="str">
            <v>Trainee - Commercial</v>
          </cell>
        </row>
        <row r="37">
          <cell r="C37">
            <v>11262018</v>
          </cell>
          <cell r="D37" t="str">
            <v>Badsha Textiles Ltd.</v>
          </cell>
          <cell r="E37" t="str">
            <v>Active</v>
          </cell>
          <cell r="F37">
            <v>138</v>
          </cell>
          <cell r="G37" t="str">
            <v>BTL/HO/APL/138.011218</v>
          </cell>
          <cell r="H37" t="str">
            <v>Mr.</v>
          </cell>
          <cell r="I37" t="str">
            <v>Male</v>
          </cell>
          <cell r="J37" t="str">
            <v>D. Tanmoy Bhuiyan</v>
          </cell>
          <cell r="K37" t="str">
            <v>Trainee - Commercial</v>
          </cell>
        </row>
        <row r="38">
          <cell r="C38">
            <v>11282018</v>
          </cell>
          <cell r="D38" t="str">
            <v>Badsha Textiles Ltd.</v>
          </cell>
          <cell r="E38" t="str">
            <v>Active</v>
          </cell>
          <cell r="F38">
            <v>139</v>
          </cell>
          <cell r="G38" t="str">
            <v>BTL/HO/APL/139.181218</v>
          </cell>
          <cell r="H38" t="str">
            <v>Mr.</v>
          </cell>
          <cell r="I38" t="str">
            <v>Male</v>
          </cell>
          <cell r="J38" t="str">
            <v>Md. Shahjada Bhuiyan</v>
          </cell>
          <cell r="K38" t="str">
            <v>Assistant Manager - Internal Audit</v>
          </cell>
        </row>
        <row r="39">
          <cell r="C39">
            <v>11342019</v>
          </cell>
          <cell r="D39" t="str">
            <v>Badsha Textiles Ltd.</v>
          </cell>
          <cell r="E39" t="str">
            <v>Active</v>
          </cell>
          <cell r="F39">
            <v>140</v>
          </cell>
          <cell r="G39" t="str">
            <v>BTL/HO/APL/140.301119</v>
          </cell>
          <cell r="H39" t="str">
            <v>Mr.</v>
          </cell>
          <cell r="I39" t="str">
            <v>Male</v>
          </cell>
          <cell r="J39" t="str">
            <v>Rakibul Hasan</v>
          </cell>
          <cell r="K39" t="str">
            <v>Trainee - Commercial</v>
          </cell>
        </row>
        <row r="40">
          <cell r="C40">
            <v>11382020</v>
          </cell>
          <cell r="D40" t="str">
            <v>Badsha Textiles Ltd.</v>
          </cell>
          <cell r="E40" t="str">
            <v>Active</v>
          </cell>
          <cell r="F40">
            <v>141</v>
          </cell>
          <cell r="G40" t="str">
            <v>BTL/HO/APL/141.020720</v>
          </cell>
          <cell r="H40" t="str">
            <v>Mr.</v>
          </cell>
          <cell r="I40" t="str">
            <v>Male</v>
          </cell>
          <cell r="J40" t="str">
            <v>Muhammad Al-Amin</v>
          </cell>
          <cell r="K40" t="str">
            <v>Executive - Finance &amp; Accounts</v>
          </cell>
        </row>
        <row r="41">
          <cell r="C41">
            <v>11392020</v>
          </cell>
          <cell r="D41" t="str">
            <v>Badsha Textiles Ltd.</v>
          </cell>
          <cell r="E41" t="str">
            <v>Active</v>
          </cell>
          <cell r="F41">
            <v>142</v>
          </cell>
          <cell r="G41" t="str">
            <v>BTL/HO/APL/142.100820</v>
          </cell>
          <cell r="H41" t="str">
            <v>Mr.</v>
          </cell>
          <cell r="I41" t="str">
            <v>Male</v>
          </cell>
          <cell r="J41" t="str">
            <v>Md. Anisur Rahman</v>
          </cell>
          <cell r="K41" t="str">
            <v>Head of Marketing (South)</v>
          </cell>
        </row>
        <row r="42">
          <cell r="C42">
            <v>11402020</v>
          </cell>
          <cell r="D42" t="str">
            <v>Badsha Textiles Ltd.</v>
          </cell>
          <cell r="E42" t="str">
            <v>Active</v>
          </cell>
          <cell r="F42">
            <v>143</v>
          </cell>
          <cell r="G42" t="str">
            <v>BTL/HO/APL/143.010820</v>
          </cell>
          <cell r="H42" t="str">
            <v>Mr.</v>
          </cell>
          <cell r="I42" t="str">
            <v>Male</v>
          </cell>
          <cell r="J42" t="str">
            <v>Md. Shamim Hossain</v>
          </cell>
          <cell r="K42" t="str">
            <v>Officer - Commercial</v>
          </cell>
        </row>
        <row r="43">
          <cell r="C43">
            <v>11412020</v>
          </cell>
          <cell r="D43" t="str">
            <v>Badsha Textiles Ltd.</v>
          </cell>
          <cell r="E43" t="str">
            <v>Active</v>
          </cell>
          <cell r="F43">
            <v>146</v>
          </cell>
          <cell r="G43" t="str">
            <v>BTL/HO/APL/146.260820</v>
          </cell>
          <cell r="H43" t="str">
            <v>Mr.</v>
          </cell>
          <cell r="I43" t="str">
            <v>Male</v>
          </cell>
          <cell r="J43" t="str">
            <v>Md. Mohsin</v>
          </cell>
          <cell r="K43" t="str">
            <v>Manager - Commercial</v>
          </cell>
        </row>
        <row r="44">
          <cell r="C44">
            <v>11422020</v>
          </cell>
          <cell r="D44" t="str">
            <v>Badsha Textiles Ltd.</v>
          </cell>
          <cell r="E44" t="str">
            <v>Active</v>
          </cell>
          <cell r="F44">
            <v>147</v>
          </cell>
          <cell r="G44" t="str">
            <v>BTL/HO/APL/147.010920</v>
          </cell>
          <cell r="H44" t="str">
            <v>Mr.</v>
          </cell>
          <cell r="I44" t="str">
            <v>Male</v>
          </cell>
          <cell r="J44" t="str">
            <v>Kaushik Ahammad</v>
          </cell>
          <cell r="K44" t="str">
            <v>Assistant Manager - Commercial</v>
          </cell>
        </row>
        <row r="45">
          <cell r="C45">
            <v>11442020</v>
          </cell>
          <cell r="D45" t="str">
            <v>Badsha Textiles Ltd.</v>
          </cell>
          <cell r="E45" t="str">
            <v>Active</v>
          </cell>
          <cell r="F45">
            <v>148</v>
          </cell>
          <cell r="G45" t="str">
            <v>BTL/HO/APL/148.010920</v>
          </cell>
          <cell r="H45" t="str">
            <v>Mr.</v>
          </cell>
          <cell r="I45" t="str">
            <v>Male</v>
          </cell>
          <cell r="J45" t="str">
            <v>Kazi Atiq Ullah</v>
          </cell>
          <cell r="K45" t="str">
            <v>Executive - Finance &amp; Accounts</v>
          </cell>
        </row>
        <row r="46">
          <cell r="C46">
            <v>11452020</v>
          </cell>
          <cell r="D46" t="str">
            <v>Badsha Textiles Ltd.</v>
          </cell>
          <cell r="E46" t="str">
            <v>Active</v>
          </cell>
          <cell r="F46">
            <v>149</v>
          </cell>
          <cell r="G46" t="str">
            <v>BTL/HO/APL/149.011020</v>
          </cell>
          <cell r="H46" t="str">
            <v>Mr.</v>
          </cell>
          <cell r="I46" t="str">
            <v>Male</v>
          </cell>
          <cell r="J46" t="str">
            <v>Md. Hanif Hussain Sujan</v>
          </cell>
          <cell r="K46" t="str">
            <v>Executive - Audit</v>
          </cell>
        </row>
        <row r="47">
          <cell r="C47">
            <v>11462020</v>
          </cell>
          <cell r="D47" t="str">
            <v>Badsha Textiles Ltd.</v>
          </cell>
          <cell r="E47" t="str">
            <v>Active</v>
          </cell>
          <cell r="F47">
            <v>150</v>
          </cell>
          <cell r="G47" t="str">
            <v>BTL/HO/APL/150.011120</v>
          </cell>
          <cell r="H47" t="str">
            <v>Mr.</v>
          </cell>
          <cell r="I47" t="str">
            <v>Male</v>
          </cell>
          <cell r="J47" t="str">
            <v>Md. Tuffazzal Hussain</v>
          </cell>
          <cell r="K47" t="str">
            <v>Assistant Manager - Protocol</v>
          </cell>
        </row>
        <row r="48">
          <cell r="C48">
            <v>11472020</v>
          </cell>
          <cell r="D48" t="str">
            <v>Badsha Textiles Ltd.</v>
          </cell>
          <cell r="E48" t="str">
            <v>Active</v>
          </cell>
          <cell r="F48">
            <v>151</v>
          </cell>
          <cell r="G48" t="str">
            <v>BTL/HO/APL/151.011220</v>
          </cell>
          <cell r="H48" t="str">
            <v>Mr.</v>
          </cell>
          <cell r="I48" t="str">
            <v>Male</v>
          </cell>
          <cell r="J48" t="str">
            <v>Rashed Mahmud Rasel</v>
          </cell>
          <cell r="K48" t="str">
            <v>Executive - Procurement</v>
          </cell>
        </row>
        <row r="49">
          <cell r="C49">
            <v>11482020</v>
          </cell>
          <cell r="D49" t="str">
            <v>Badsha Textiles Ltd.</v>
          </cell>
          <cell r="E49" t="str">
            <v>Active</v>
          </cell>
          <cell r="F49">
            <v>152</v>
          </cell>
          <cell r="G49" t="str">
            <v>BTL/HO/APL/152.301120</v>
          </cell>
          <cell r="H49" t="str">
            <v>Mr.</v>
          </cell>
          <cell r="I49" t="str">
            <v>Male</v>
          </cell>
          <cell r="J49" t="str">
            <v>Dewan Md. Liaqat Ali</v>
          </cell>
          <cell r="K49" t="str">
            <v>Head of Admin &amp; HR</v>
          </cell>
        </row>
        <row r="50">
          <cell r="C50">
            <v>11492021</v>
          </cell>
          <cell r="D50" t="str">
            <v>Badsha Textiles Ltd.</v>
          </cell>
          <cell r="E50" t="str">
            <v>Active</v>
          </cell>
          <cell r="F50">
            <v>153</v>
          </cell>
          <cell r="G50" t="str">
            <v>BTL/HO/APL/153.250221</v>
          </cell>
          <cell r="H50" t="str">
            <v>Mr.</v>
          </cell>
          <cell r="I50" t="str">
            <v>Male</v>
          </cell>
          <cell r="J50" t="str">
            <v>Md. Jasim Uddin</v>
          </cell>
          <cell r="K50" t="str">
            <v>_</v>
          </cell>
        </row>
        <row r="51">
          <cell r="C51">
            <v>11502021</v>
          </cell>
          <cell r="D51" t="str">
            <v>Badsha Textiles Ltd.</v>
          </cell>
          <cell r="E51" t="str">
            <v>Active</v>
          </cell>
          <cell r="F51">
            <v>153</v>
          </cell>
          <cell r="G51" t="str">
            <v>BTL/HO/APL/153.020321</v>
          </cell>
          <cell r="H51" t="str">
            <v>Mr.</v>
          </cell>
          <cell r="I51" t="str">
            <v>Male</v>
          </cell>
          <cell r="J51" t="str">
            <v>Md. Saidul Islam</v>
          </cell>
          <cell r="K51" t="str">
            <v>Trainee - Commercial</v>
          </cell>
        </row>
        <row r="52">
          <cell r="C52">
            <v>11512021</v>
          </cell>
          <cell r="D52" t="str">
            <v>Badsha Textiles Ltd.</v>
          </cell>
          <cell r="E52" t="str">
            <v>Active</v>
          </cell>
          <cell r="F52">
            <v>154</v>
          </cell>
          <cell r="G52" t="str">
            <v>BTL/HO/APL/154.010421</v>
          </cell>
          <cell r="H52" t="str">
            <v>Mr.</v>
          </cell>
          <cell r="I52" t="str">
            <v>Male</v>
          </cell>
          <cell r="J52" t="str">
            <v>Md. Elius Hossain</v>
          </cell>
          <cell r="K52" t="str">
            <v>Senior Executive - Marketing</v>
          </cell>
        </row>
        <row r="53">
          <cell r="C53">
            <v>11522021</v>
          </cell>
          <cell r="D53" t="str">
            <v>Badsha Textiles Ltd.</v>
          </cell>
          <cell r="E53" t="str">
            <v>Active</v>
          </cell>
          <cell r="F53">
            <v>155</v>
          </cell>
          <cell r="G53" t="str">
            <v>BTL/HO/APL/155.220521</v>
          </cell>
          <cell r="H53" t="str">
            <v>Mr.</v>
          </cell>
          <cell r="I53" t="str">
            <v>Male</v>
          </cell>
          <cell r="J53" t="str">
            <v>K.M. Habibur Rahman</v>
          </cell>
          <cell r="K53" t="str">
            <v>Zone In-Charge</v>
          </cell>
        </row>
        <row r="54">
          <cell r="C54">
            <v>11532021</v>
          </cell>
          <cell r="D54" t="str">
            <v>Badsha Textiles Ltd.</v>
          </cell>
          <cell r="E54" t="str">
            <v>Active</v>
          </cell>
          <cell r="F54">
            <v>156</v>
          </cell>
          <cell r="G54" t="str">
            <v>BTL/HO/APL/156.230521</v>
          </cell>
          <cell r="H54" t="str">
            <v>Mr.</v>
          </cell>
          <cell r="I54" t="str">
            <v>Male</v>
          </cell>
          <cell r="J54" t="str">
            <v>Md. Nadim Hossain</v>
          </cell>
          <cell r="K54" t="str">
            <v>_</v>
          </cell>
        </row>
        <row r="55">
          <cell r="C55">
            <v>11542021</v>
          </cell>
          <cell r="D55" t="str">
            <v>Badsha Textiles Ltd.</v>
          </cell>
          <cell r="E55" t="str">
            <v>Active</v>
          </cell>
          <cell r="F55">
            <v>157</v>
          </cell>
          <cell r="G55" t="str">
            <v>BTL/HO/APL/157.010821</v>
          </cell>
          <cell r="H55" t="str">
            <v>Mr.</v>
          </cell>
          <cell r="I55" t="str">
            <v>Male</v>
          </cell>
          <cell r="J55" t="str">
            <v>Md. Ikbal Hossen</v>
          </cell>
          <cell r="K55" t="str">
            <v>Senior Executive - Import</v>
          </cell>
        </row>
        <row r="56">
          <cell r="C56">
            <v>11552021</v>
          </cell>
          <cell r="D56" t="str">
            <v>Badsha Textiles Ltd.</v>
          </cell>
          <cell r="E56" t="str">
            <v>Active</v>
          </cell>
          <cell r="F56">
            <v>158</v>
          </cell>
          <cell r="G56" t="str">
            <v>BTL/HO/APL/158.160821</v>
          </cell>
          <cell r="H56" t="str">
            <v>Mr.</v>
          </cell>
          <cell r="I56" t="str">
            <v>Male</v>
          </cell>
          <cell r="J56" t="str">
            <v>Mohammad Hasan Imam</v>
          </cell>
          <cell r="K56" t="str">
            <v>General Manager - Finance &amp; Accounts</v>
          </cell>
        </row>
        <row r="57">
          <cell r="C57">
            <v>11562021</v>
          </cell>
          <cell r="D57" t="str">
            <v>Badsha Textiles Ltd.</v>
          </cell>
          <cell r="E57" t="str">
            <v>Active</v>
          </cell>
          <cell r="F57">
            <v>159</v>
          </cell>
          <cell r="G57" t="str">
            <v>BTL/HO/APL/159.150921</v>
          </cell>
          <cell r="H57" t="str">
            <v>Mr.</v>
          </cell>
          <cell r="I57" t="str">
            <v>Male</v>
          </cell>
          <cell r="J57" t="str">
            <v>Emon Bhuiyan</v>
          </cell>
          <cell r="K57" t="str">
            <v>Executive - Finance &amp; Accounts</v>
          </cell>
        </row>
        <row r="58">
          <cell r="C58">
            <v>11572021</v>
          </cell>
          <cell r="D58" t="str">
            <v>Badsha Textiles Ltd.</v>
          </cell>
          <cell r="E58" t="str">
            <v>Active</v>
          </cell>
          <cell r="F58">
            <v>160</v>
          </cell>
          <cell r="G58" t="str">
            <v>BTL/HO/APL/160.150921</v>
          </cell>
          <cell r="H58" t="str">
            <v>Mr.</v>
          </cell>
          <cell r="I58" t="str">
            <v>Male</v>
          </cell>
          <cell r="J58" t="str">
            <v>Sazzad Mahmud</v>
          </cell>
          <cell r="K58" t="str">
            <v>Executive - Audit</v>
          </cell>
        </row>
        <row r="59">
          <cell r="G59" t="str">
            <v>BTL/HO/APL/.000100</v>
          </cell>
          <cell r="H59" t="str">
            <v/>
          </cell>
        </row>
        <row r="60">
          <cell r="G60" t="str">
            <v>BTL/HO/APL/.000100</v>
          </cell>
          <cell r="H60" t="str">
            <v/>
          </cell>
        </row>
        <row r="61">
          <cell r="G61" t="str">
            <v>BTL/HO/APL/.000100</v>
          </cell>
          <cell r="H61" t="str">
            <v/>
          </cell>
        </row>
        <row r="62">
          <cell r="G62" t="str">
            <v>BTL/HO/APL/.000100</v>
          </cell>
          <cell r="H62" t="str">
            <v/>
          </cell>
        </row>
        <row r="63">
          <cell r="G63" t="str">
            <v>BTL/HO/APL/.000100</v>
          </cell>
          <cell r="H63" t="str">
            <v/>
          </cell>
        </row>
        <row r="64">
          <cell r="G64" t="str">
            <v>BTL/HO/APL/.000100</v>
          </cell>
          <cell r="H64" t="str">
            <v/>
          </cell>
        </row>
        <row r="65">
          <cell r="G65" t="str">
            <v>BTL/HO/APL/.000100</v>
          </cell>
          <cell r="H65" t="str">
            <v/>
          </cell>
        </row>
        <row r="66">
          <cell r="G66" t="str">
            <v>BTL/HO/APL/.000100</v>
          </cell>
          <cell r="H66" t="str">
            <v/>
          </cell>
        </row>
        <row r="67">
          <cell r="G67" t="str">
            <v>BTL/HO/APL/.000100</v>
          </cell>
          <cell r="H67" t="str">
            <v/>
          </cell>
        </row>
        <row r="68">
          <cell r="G68" t="str">
            <v>BTL/HO/APL/.000100</v>
          </cell>
          <cell r="H68" t="str">
            <v/>
          </cell>
        </row>
        <row r="69">
          <cell r="C69">
            <v>20912016</v>
          </cell>
          <cell r="D69" t="str">
            <v>Badsha Textiles Ltd.</v>
          </cell>
          <cell r="E69" t="str">
            <v>Active</v>
          </cell>
          <cell r="F69" t="str">
            <v>T001</v>
          </cell>
          <cell r="G69" t="str">
            <v>BTL/HO/APL/T001.010816</v>
          </cell>
          <cell r="H69" t="str">
            <v>Mr.</v>
          </cell>
          <cell r="I69" t="str">
            <v>Male</v>
          </cell>
          <cell r="J69" t="str">
            <v xml:space="preserve">Habibullah </v>
          </cell>
          <cell r="K69" t="str">
            <v>Manager - Estate &amp; Legal</v>
          </cell>
        </row>
        <row r="70">
          <cell r="C70">
            <v>21132017</v>
          </cell>
          <cell r="D70" t="str">
            <v>Badsha Textiles Ltd.</v>
          </cell>
          <cell r="E70" t="str">
            <v>Active</v>
          </cell>
          <cell r="F70" t="str">
            <v>T002</v>
          </cell>
          <cell r="G70" t="str">
            <v>BTL/HO/APL/T002.011012</v>
          </cell>
          <cell r="H70" t="str">
            <v>Mr.</v>
          </cell>
          <cell r="I70" t="str">
            <v>Male</v>
          </cell>
          <cell r="J70" t="str">
            <v>Md. Moniruzzaman</v>
          </cell>
          <cell r="K70" t="str">
            <v>Senior Executive - Audit</v>
          </cell>
        </row>
        <row r="71">
          <cell r="C71">
            <v>21152017</v>
          </cell>
          <cell r="D71" t="str">
            <v>Badsha Textiles Ltd.</v>
          </cell>
          <cell r="E71" t="str">
            <v>Active</v>
          </cell>
          <cell r="F71" t="str">
            <v>T003</v>
          </cell>
          <cell r="G71" t="str">
            <v>BTL/HO/APL/T003.270317</v>
          </cell>
          <cell r="H71" t="str">
            <v>Mr.</v>
          </cell>
          <cell r="I71" t="str">
            <v>Male</v>
          </cell>
          <cell r="J71" t="str">
            <v>Mir Muhshiuzzaman</v>
          </cell>
          <cell r="K71" t="str">
            <v>Manager - Finance &amp; Accounts</v>
          </cell>
        </row>
        <row r="72">
          <cell r="C72">
            <v>21862020</v>
          </cell>
          <cell r="D72" t="str">
            <v>Badsha Textiles Ltd.</v>
          </cell>
          <cell r="E72" t="str">
            <v>Active</v>
          </cell>
          <cell r="F72" t="str">
            <v>T004</v>
          </cell>
          <cell r="G72" t="str">
            <v>BTL/HO/APL/T004.011020</v>
          </cell>
          <cell r="H72" t="str">
            <v>Mr.</v>
          </cell>
          <cell r="I72" t="str">
            <v>Male</v>
          </cell>
          <cell r="J72" t="str">
            <v>Imran Hossain</v>
          </cell>
          <cell r="K72" t="str">
            <v>Executive - Finance &amp; Accounts</v>
          </cell>
        </row>
      </sheetData>
      <sheetData sheetId="3">
        <row r="1">
          <cell r="C1" t="str">
            <v xml:space="preserve">ID Number </v>
          </cell>
          <cell r="D1" t="str">
            <v>Company_Name</v>
          </cell>
          <cell r="E1" t="str">
            <v>Status</v>
          </cell>
          <cell r="F1" t="str">
            <v>J_SL</v>
          </cell>
          <cell r="G1" t="str">
            <v>Ref</v>
          </cell>
          <cell r="H1" t="str">
            <v>Title</v>
          </cell>
          <cell r="I1" t="str">
            <v>Gender</v>
          </cell>
          <cell r="J1" t="str">
            <v xml:space="preserve">Name </v>
          </cell>
          <cell r="K1" t="str">
            <v xml:space="preserve">Designation </v>
          </cell>
        </row>
        <row r="2">
          <cell r="C2">
            <v>20042012</v>
          </cell>
          <cell r="D2" t="str">
            <v>Kamal Yarn Limited</v>
          </cell>
          <cell r="E2" t="str">
            <v>Active</v>
          </cell>
          <cell r="F2">
            <v>1201</v>
          </cell>
          <cell r="G2" t="str">
            <v>KYL/HO/APL/1201.010312</v>
          </cell>
          <cell r="H2" t="str">
            <v>Mr.</v>
          </cell>
          <cell r="I2" t="str">
            <v>Male</v>
          </cell>
          <cell r="J2" t="str">
            <v>Mohammed Nurul Akter Chowdhury</v>
          </cell>
          <cell r="K2" t="str">
            <v>Head of Marketing (Woven)</v>
          </cell>
        </row>
        <row r="3">
          <cell r="C3">
            <v>20062000</v>
          </cell>
          <cell r="D3" t="str">
            <v>Kamal Yarn Limited</v>
          </cell>
          <cell r="E3" t="str">
            <v>Active</v>
          </cell>
          <cell r="F3">
            <v>1202</v>
          </cell>
          <cell r="G3" t="str">
            <v>KYL/HO/APL/1202.130400</v>
          </cell>
          <cell r="H3" t="str">
            <v>Mr.</v>
          </cell>
          <cell r="I3" t="str">
            <v>Male</v>
          </cell>
          <cell r="J3" t="str">
            <v>Asraful Islam</v>
          </cell>
          <cell r="K3" t="str">
            <v>In-Charge - Commercial</v>
          </cell>
        </row>
        <row r="4">
          <cell r="C4">
            <v>20072000</v>
          </cell>
          <cell r="D4" t="str">
            <v>Kamal Yarn Limited</v>
          </cell>
          <cell r="E4" t="str">
            <v>Active</v>
          </cell>
          <cell r="F4">
            <v>1203</v>
          </cell>
          <cell r="G4" t="str">
            <v>KYL/HO/APL/1203.100700</v>
          </cell>
          <cell r="H4" t="str">
            <v>Mr.</v>
          </cell>
          <cell r="I4" t="str">
            <v>Male</v>
          </cell>
          <cell r="J4" t="str">
            <v>Rakibul Hasan Chowdhury</v>
          </cell>
          <cell r="K4" t="str">
            <v>In-Charge - Commercial</v>
          </cell>
        </row>
        <row r="5">
          <cell r="C5">
            <v>20122009</v>
          </cell>
          <cell r="D5" t="str">
            <v>Kamal Yarn Limited</v>
          </cell>
          <cell r="E5" t="str">
            <v>Active</v>
          </cell>
          <cell r="F5">
            <v>1204</v>
          </cell>
          <cell r="G5" t="str">
            <v>KYL/HO/APL/1204.030309</v>
          </cell>
          <cell r="H5" t="str">
            <v>Mr.</v>
          </cell>
          <cell r="I5" t="str">
            <v>Male</v>
          </cell>
          <cell r="J5" t="str">
            <v>Syed Mahmood Hassan</v>
          </cell>
          <cell r="K5" t="str">
            <v>Junior Officer - Commercial</v>
          </cell>
        </row>
        <row r="6">
          <cell r="C6">
            <v>20142012</v>
          </cell>
          <cell r="D6" t="str">
            <v>Kamal Yarn Limited</v>
          </cell>
          <cell r="E6" t="str">
            <v>Active</v>
          </cell>
          <cell r="F6">
            <v>1205</v>
          </cell>
          <cell r="G6" t="str">
            <v>KYL/HO/APL/1205.040812</v>
          </cell>
          <cell r="H6" t="str">
            <v>Mr.</v>
          </cell>
          <cell r="I6" t="str">
            <v>Male</v>
          </cell>
          <cell r="J6" t="str">
            <v>Suman Chandra Malo</v>
          </cell>
          <cell r="K6" t="str">
            <v>Executive - Commercial</v>
          </cell>
        </row>
        <row r="7">
          <cell r="C7">
            <v>20162010</v>
          </cell>
          <cell r="D7" t="str">
            <v>Kamal Yarn Limited</v>
          </cell>
          <cell r="E7" t="str">
            <v>Active</v>
          </cell>
          <cell r="F7">
            <v>1206</v>
          </cell>
          <cell r="G7" t="str">
            <v>KYL/HO/APL/1206.051010</v>
          </cell>
          <cell r="H7" t="str">
            <v>Mr.</v>
          </cell>
          <cell r="I7" t="str">
            <v>Male</v>
          </cell>
          <cell r="J7" t="str">
            <v>Raihan Mahmud</v>
          </cell>
          <cell r="K7" t="str">
            <v>Executive - Commercial</v>
          </cell>
        </row>
        <row r="8">
          <cell r="C8">
            <v>20172012</v>
          </cell>
          <cell r="D8" t="str">
            <v>Kamal Yarn Limited</v>
          </cell>
          <cell r="E8" t="str">
            <v>Active</v>
          </cell>
          <cell r="F8">
            <v>1207</v>
          </cell>
          <cell r="G8" t="str">
            <v>KYL/HO/APL/1207.100612</v>
          </cell>
          <cell r="H8" t="str">
            <v>Mr.</v>
          </cell>
          <cell r="I8" t="str">
            <v>Male</v>
          </cell>
          <cell r="J8" t="str">
            <v>Md. Al-Amin Khan</v>
          </cell>
          <cell r="K8" t="str">
            <v>Executive - Administration</v>
          </cell>
        </row>
        <row r="9">
          <cell r="C9">
            <v>20242005</v>
          </cell>
          <cell r="D9" t="str">
            <v>Kamal Yarn Limited</v>
          </cell>
          <cell r="E9" t="str">
            <v>Active</v>
          </cell>
          <cell r="F9">
            <v>1208</v>
          </cell>
          <cell r="G9" t="str">
            <v>KYL/HO/APL/1208.101005</v>
          </cell>
          <cell r="H9" t="str">
            <v>Mr.</v>
          </cell>
          <cell r="I9" t="str">
            <v>Male</v>
          </cell>
          <cell r="J9" t="str">
            <v>Md. Mustafizur Rahman</v>
          </cell>
          <cell r="K9" t="str">
            <v xml:space="preserve">Officer - Procurement </v>
          </cell>
        </row>
        <row r="10">
          <cell r="C10">
            <v>20282010</v>
          </cell>
          <cell r="D10" t="str">
            <v>Kamal Yarn Limited</v>
          </cell>
          <cell r="E10" t="str">
            <v>Active</v>
          </cell>
          <cell r="F10">
            <v>1209</v>
          </cell>
          <cell r="G10" t="str">
            <v>KYL/HO/APL/1209.030310</v>
          </cell>
          <cell r="H10" t="str">
            <v>Mr.</v>
          </cell>
          <cell r="I10" t="str">
            <v>Male</v>
          </cell>
          <cell r="J10" t="str">
            <v>Md. Mehedi Hasan</v>
          </cell>
          <cell r="K10" t="str">
            <v xml:space="preserve">Senior Executive - Internal Audit </v>
          </cell>
        </row>
        <row r="11">
          <cell r="C11">
            <v>20302005</v>
          </cell>
          <cell r="D11" t="str">
            <v>Kamal Yarn Limited</v>
          </cell>
          <cell r="E11" t="str">
            <v>Active</v>
          </cell>
          <cell r="F11">
            <v>1210</v>
          </cell>
          <cell r="G11" t="str">
            <v>KYL/HO/APL/1210.150805</v>
          </cell>
          <cell r="H11" t="str">
            <v>Mr.</v>
          </cell>
          <cell r="I11" t="str">
            <v>Male</v>
          </cell>
          <cell r="J11" t="str">
            <v>Md. Ruhul Amin</v>
          </cell>
          <cell r="K11" t="str">
            <v>Executive - Finance &amp; Accounts</v>
          </cell>
        </row>
        <row r="12">
          <cell r="C12">
            <v>20342009</v>
          </cell>
          <cell r="D12" t="str">
            <v>Kamal Yarn Limited</v>
          </cell>
          <cell r="E12" t="str">
            <v>Active</v>
          </cell>
          <cell r="F12">
            <v>1211</v>
          </cell>
          <cell r="G12" t="str">
            <v>KYL/HO/APL/1211.120209</v>
          </cell>
          <cell r="H12" t="str">
            <v>Mr.</v>
          </cell>
          <cell r="I12" t="str">
            <v>Male</v>
          </cell>
          <cell r="J12" t="str">
            <v>Mohammad Shawkot Alam</v>
          </cell>
          <cell r="K12" t="str">
            <v>Senior Executive - Finance &amp; Accounts</v>
          </cell>
        </row>
        <row r="13">
          <cell r="C13">
            <v>20352011</v>
          </cell>
          <cell r="D13" t="str">
            <v>Kamal Yarn Limited</v>
          </cell>
          <cell r="E13" t="str">
            <v>Active</v>
          </cell>
          <cell r="F13">
            <v>1212</v>
          </cell>
          <cell r="G13" t="str">
            <v>KYL/HO/APL/1212.231011</v>
          </cell>
          <cell r="H13" t="str">
            <v>Mr.</v>
          </cell>
          <cell r="I13" t="str">
            <v>Male</v>
          </cell>
          <cell r="J13" t="str">
            <v>Md. Safiul Muznabin</v>
          </cell>
          <cell r="K13" t="str">
            <v>Senior Executive - Audit</v>
          </cell>
        </row>
        <row r="14">
          <cell r="C14">
            <v>20402006</v>
          </cell>
          <cell r="D14" t="str">
            <v>Kamal Yarn Limited</v>
          </cell>
          <cell r="E14" t="str">
            <v>Active</v>
          </cell>
          <cell r="F14">
            <v>1213</v>
          </cell>
          <cell r="G14" t="str">
            <v>KYL/HO/APL/1213.051106</v>
          </cell>
          <cell r="H14" t="str">
            <v>Mr.</v>
          </cell>
          <cell r="I14" t="str">
            <v>Male</v>
          </cell>
          <cell r="J14" t="str">
            <v>Md. Rajib Chowkeder (Razu)</v>
          </cell>
          <cell r="K14" t="str">
            <v>Messenger</v>
          </cell>
        </row>
        <row r="15">
          <cell r="C15">
            <v>20412000</v>
          </cell>
          <cell r="D15" t="str">
            <v>Kamal Yarn Limited</v>
          </cell>
          <cell r="E15" t="str">
            <v>Active</v>
          </cell>
          <cell r="F15">
            <v>1214</v>
          </cell>
          <cell r="G15" t="str">
            <v>KYL/HO/APL/1214.010200</v>
          </cell>
          <cell r="H15" t="str">
            <v>Mr.</v>
          </cell>
          <cell r="I15" t="str">
            <v>Male</v>
          </cell>
          <cell r="J15" t="str">
            <v>Md. Tamiz Uddin</v>
          </cell>
          <cell r="K15" t="str">
            <v>Cook</v>
          </cell>
        </row>
        <row r="16">
          <cell r="C16">
            <v>20420000</v>
          </cell>
          <cell r="D16" t="str">
            <v>Kamal Yarn Limited</v>
          </cell>
          <cell r="E16" t="str">
            <v>Active</v>
          </cell>
          <cell r="F16">
            <v>1215</v>
          </cell>
          <cell r="G16" t="str">
            <v>KYL/HO/APL/1215.010505</v>
          </cell>
          <cell r="H16" t="str">
            <v>Mr.</v>
          </cell>
          <cell r="I16" t="str">
            <v>Male</v>
          </cell>
          <cell r="J16" t="str">
            <v>Md. Anis Miah</v>
          </cell>
          <cell r="K16" t="str">
            <v>Peon</v>
          </cell>
        </row>
        <row r="17">
          <cell r="C17">
            <v>20462013</v>
          </cell>
          <cell r="D17" t="str">
            <v>Kamal Yarn Limited</v>
          </cell>
          <cell r="E17" t="str">
            <v>Active</v>
          </cell>
          <cell r="F17">
            <v>1216</v>
          </cell>
          <cell r="G17" t="str">
            <v>KYL/HO/APL/1216.201112</v>
          </cell>
          <cell r="H17" t="str">
            <v>Mr.</v>
          </cell>
          <cell r="I17" t="str">
            <v>Male</v>
          </cell>
          <cell r="J17" t="str">
            <v>Pervez Mia</v>
          </cell>
          <cell r="K17" t="str">
            <v>???</v>
          </cell>
        </row>
        <row r="18">
          <cell r="C18">
            <v>20522011</v>
          </cell>
          <cell r="D18" t="str">
            <v>Kamal Yarn Limited</v>
          </cell>
          <cell r="E18" t="str">
            <v>Active</v>
          </cell>
          <cell r="F18">
            <v>1217</v>
          </cell>
          <cell r="G18" t="str">
            <v>KYL/HO/APL/1217.110511</v>
          </cell>
          <cell r="H18" t="str">
            <v>Mr.</v>
          </cell>
          <cell r="I18" t="str">
            <v>Male</v>
          </cell>
          <cell r="J18" t="str">
            <v>Md. Lokman Hossain</v>
          </cell>
          <cell r="K18" t="str">
            <v>Driver</v>
          </cell>
        </row>
        <row r="19">
          <cell r="C19">
            <v>20652014</v>
          </cell>
          <cell r="D19" t="str">
            <v>Kamal Yarn Limited</v>
          </cell>
          <cell r="E19" t="str">
            <v>Active</v>
          </cell>
          <cell r="F19">
            <v>1218</v>
          </cell>
          <cell r="G19" t="str">
            <v>KYL/HO/APL/1218.261016</v>
          </cell>
          <cell r="H19" t="str">
            <v>Mr.</v>
          </cell>
          <cell r="I19" t="str">
            <v>Male</v>
          </cell>
          <cell r="J19" t="str">
            <v>Md. Khurshid Alam</v>
          </cell>
          <cell r="K19" t="str">
            <v>DGM - Civil</v>
          </cell>
        </row>
        <row r="20">
          <cell r="C20">
            <v>20822016</v>
          </cell>
          <cell r="D20" t="str">
            <v>Kamal Yarn Limited</v>
          </cell>
          <cell r="E20" t="str">
            <v>Active</v>
          </cell>
          <cell r="F20">
            <v>1219</v>
          </cell>
          <cell r="G20" t="str">
            <v>KYL/HO/APL/1219.200816</v>
          </cell>
          <cell r="H20" t="str">
            <v>Mr.</v>
          </cell>
          <cell r="I20" t="str">
            <v>Male</v>
          </cell>
          <cell r="J20" t="str">
            <v>Md. Arifuzzaman</v>
          </cell>
          <cell r="K20" t="str">
            <v>Junior Officer - Commercial</v>
          </cell>
        </row>
        <row r="21">
          <cell r="C21">
            <v>20842017</v>
          </cell>
          <cell r="D21" t="str">
            <v>Kamal Yarn Limited</v>
          </cell>
          <cell r="E21" t="str">
            <v>Active</v>
          </cell>
          <cell r="F21">
            <v>1220</v>
          </cell>
          <cell r="G21" t="str">
            <v>KYL/HO/APL/1220.120915</v>
          </cell>
          <cell r="H21" t="str">
            <v>Mr.</v>
          </cell>
          <cell r="I21" t="str">
            <v>Male</v>
          </cell>
          <cell r="J21" t="str">
            <v>Yousuf Ahmmed</v>
          </cell>
          <cell r="K21" t="str">
            <v>Senior Executive - Audit</v>
          </cell>
        </row>
        <row r="22">
          <cell r="C22">
            <v>20862017</v>
          </cell>
          <cell r="D22" t="str">
            <v>Kamal Yarn Limited</v>
          </cell>
          <cell r="E22" t="str">
            <v>Active</v>
          </cell>
          <cell r="F22">
            <v>1221</v>
          </cell>
          <cell r="G22" t="str">
            <v>KYL/HO/APL/1221.031017</v>
          </cell>
          <cell r="H22" t="str">
            <v>Mr.</v>
          </cell>
          <cell r="I22" t="str">
            <v>Male</v>
          </cell>
          <cell r="J22" t="str">
            <v>Md. Shamim Hossain</v>
          </cell>
          <cell r="K22" t="str">
            <v>???</v>
          </cell>
        </row>
        <row r="23">
          <cell r="C23">
            <v>20872017</v>
          </cell>
          <cell r="D23" t="str">
            <v>Kamal Yarn Limited</v>
          </cell>
          <cell r="E23" t="str">
            <v>Active</v>
          </cell>
          <cell r="F23">
            <v>1222</v>
          </cell>
          <cell r="G23" t="str">
            <v>KYL/HO/APL/1222.031017</v>
          </cell>
          <cell r="H23" t="str">
            <v>Mr.</v>
          </cell>
          <cell r="I23" t="str">
            <v>Male</v>
          </cell>
          <cell r="J23" t="str">
            <v>Mamun Hossen</v>
          </cell>
          <cell r="K23" t="str">
            <v>Peon</v>
          </cell>
        </row>
        <row r="24">
          <cell r="C24">
            <v>20892017</v>
          </cell>
          <cell r="D24" t="str">
            <v>Kamal Yarn Limited</v>
          </cell>
          <cell r="E24" t="str">
            <v>Active</v>
          </cell>
          <cell r="F24">
            <v>1223</v>
          </cell>
          <cell r="G24" t="str">
            <v>KYL/HO/APL/1223.181017</v>
          </cell>
          <cell r="H24" t="str">
            <v>Mr.</v>
          </cell>
          <cell r="I24" t="str">
            <v>Male</v>
          </cell>
          <cell r="J24" t="str">
            <v>Mahamudun Nabi Ove</v>
          </cell>
          <cell r="K24" t="str">
            <v>Junior Executive - Commercial</v>
          </cell>
        </row>
        <row r="25">
          <cell r="C25">
            <v>20922016</v>
          </cell>
          <cell r="D25" t="str">
            <v>Kamal Yarn Limited</v>
          </cell>
          <cell r="E25" t="str">
            <v>Active</v>
          </cell>
          <cell r="F25">
            <v>1224</v>
          </cell>
          <cell r="G25" t="str">
            <v>KYL/HO/APL/1224.011216</v>
          </cell>
          <cell r="H25" t="str">
            <v>Mr.</v>
          </cell>
          <cell r="I25" t="str">
            <v>Male</v>
          </cell>
          <cell r="J25" t="str">
            <v>Md. Mosharaf Hossain</v>
          </cell>
          <cell r="K25" t="str">
            <v>Junior Officer - Procurement</v>
          </cell>
        </row>
        <row r="26">
          <cell r="C26">
            <v>20932017</v>
          </cell>
          <cell r="D26" t="str">
            <v>Kamal Yarn Limited</v>
          </cell>
          <cell r="E26" t="str">
            <v>Active</v>
          </cell>
          <cell r="F26">
            <v>1225</v>
          </cell>
          <cell r="G26" t="str">
            <v>KYL/HO/APL/1225.180617</v>
          </cell>
          <cell r="H26" t="str">
            <v>Mr.</v>
          </cell>
          <cell r="I26" t="str">
            <v>Male</v>
          </cell>
          <cell r="J26" t="str">
            <v>Md. Humayun Kabir</v>
          </cell>
          <cell r="K26" t="str">
            <v>Executive - Finance &amp; Accounts</v>
          </cell>
        </row>
        <row r="27">
          <cell r="C27">
            <v>21012017</v>
          </cell>
          <cell r="D27" t="str">
            <v>Kamal Yarn Limited</v>
          </cell>
          <cell r="E27" t="str">
            <v>Active</v>
          </cell>
          <cell r="F27">
            <v>1226</v>
          </cell>
          <cell r="G27" t="str">
            <v>KYL/HO/APL/1226.091117</v>
          </cell>
          <cell r="H27" t="str">
            <v>Mr.</v>
          </cell>
          <cell r="I27" t="str">
            <v>Male</v>
          </cell>
          <cell r="J27" t="str">
            <v>Md. Foysal Hossen</v>
          </cell>
          <cell r="K27" t="str">
            <v>Assistant Cook</v>
          </cell>
        </row>
        <row r="28">
          <cell r="C28">
            <v>21022017</v>
          </cell>
          <cell r="D28" t="str">
            <v>Kamal Yarn Limited</v>
          </cell>
          <cell r="E28" t="str">
            <v>Active</v>
          </cell>
          <cell r="F28">
            <v>1227</v>
          </cell>
          <cell r="G28" t="str">
            <v>KYL/HO/APL/1227.091117</v>
          </cell>
          <cell r="H28" t="str">
            <v>Mr.</v>
          </cell>
          <cell r="I28" t="str">
            <v>Male</v>
          </cell>
          <cell r="J28" t="str">
            <v>Md. Sohel Hossen</v>
          </cell>
          <cell r="K28" t="str">
            <v>Assistant Cook</v>
          </cell>
        </row>
        <row r="29">
          <cell r="C29">
            <v>21032017</v>
          </cell>
          <cell r="D29" t="str">
            <v>Kamal Yarn Limited</v>
          </cell>
          <cell r="E29" t="str">
            <v>Active</v>
          </cell>
          <cell r="F29">
            <v>1228</v>
          </cell>
          <cell r="G29" t="str">
            <v>KYL/HO/APL/1228.061217</v>
          </cell>
          <cell r="H29" t="str">
            <v>Mr.</v>
          </cell>
          <cell r="I29" t="str">
            <v>Male</v>
          </cell>
          <cell r="J29" t="str">
            <v>Md. Moshiur Rahman</v>
          </cell>
          <cell r="K29" t="str">
            <v>Senior Officer - Import</v>
          </cell>
        </row>
        <row r="30">
          <cell r="C30">
            <v>21062016</v>
          </cell>
          <cell r="D30" t="str">
            <v>Kamal Yarn Limited</v>
          </cell>
          <cell r="E30" t="str">
            <v>Active</v>
          </cell>
          <cell r="F30">
            <v>1229</v>
          </cell>
          <cell r="G30" t="str">
            <v>KYL/HO/APL/1229.050608</v>
          </cell>
          <cell r="H30" t="str">
            <v>Mr.</v>
          </cell>
          <cell r="I30" t="str">
            <v>Male</v>
          </cell>
          <cell r="J30" t="str">
            <v>Md. Shahin Alom</v>
          </cell>
          <cell r="K30" t="str">
            <v>Receptionist</v>
          </cell>
        </row>
        <row r="31">
          <cell r="C31">
            <v>21072016</v>
          </cell>
          <cell r="D31" t="str">
            <v>Kamal Yarn Limited</v>
          </cell>
          <cell r="E31" t="str">
            <v>Active</v>
          </cell>
          <cell r="F31">
            <v>1230</v>
          </cell>
          <cell r="G31" t="str">
            <v>KYL/HO/APL/1230.180217</v>
          </cell>
          <cell r="H31" t="str">
            <v>Mr.</v>
          </cell>
          <cell r="I31" t="str">
            <v>Male</v>
          </cell>
          <cell r="J31" t="str">
            <v>Md. Alamgir Mia</v>
          </cell>
          <cell r="K31" t="str">
            <v>Assistant Manager - Marketing</v>
          </cell>
        </row>
        <row r="32">
          <cell r="C32">
            <v>21082017</v>
          </cell>
          <cell r="D32" t="str">
            <v>Kamal Yarn Limited</v>
          </cell>
          <cell r="E32" t="str">
            <v>Active</v>
          </cell>
          <cell r="F32">
            <v>1231</v>
          </cell>
          <cell r="G32" t="str">
            <v>KYL/HO/APL/1231.061217</v>
          </cell>
          <cell r="H32" t="str">
            <v>Mr.</v>
          </cell>
          <cell r="I32" t="str">
            <v>Male</v>
          </cell>
          <cell r="J32" t="str">
            <v>Md. Alamgir Hossain</v>
          </cell>
          <cell r="K32" t="str">
            <v>Peon</v>
          </cell>
        </row>
        <row r="33">
          <cell r="C33">
            <v>21102017</v>
          </cell>
          <cell r="D33" t="str">
            <v>Kamal Yarn Limited</v>
          </cell>
          <cell r="E33" t="str">
            <v>Active</v>
          </cell>
          <cell r="F33">
            <v>1232</v>
          </cell>
          <cell r="G33" t="str">
            <v>KYL/HO/APL/1232.301217</v>
          </cell>
          <cell r="H33" t="str">
            <v>Mr.</v>
          </cell>
          <cell r="I33" t="str">
            <v>Male</v>
          </cell>
          <cell r="J33" t="str">
            <v>Mohiuddin Talukder</v>
          </cell>
          <cell r="K33" t="str">
            <v>Trainee - Commercial</v>
          </cell>
        </row>
        <row r="34">
          <cell r="C34">
            <v>21142017</v>
          </cell>
          <cell r="D34" t="str">
            <v>Kamal Yarn Limited</v>
          </cell>
          <cell r="E34" t="str">
            <v>Active</v>
          </cell>
          <cell r="F34">
            <v>1233</v>
          </cell>
          <cell r="G34" t="str">
            <v>KYL/HO/APL/1233.270317</v>
          </cell>
          <cell r="H34" t="str">
            <v>Mr.</v>
          </cell>
          <cell r="I34" t="str">
            <v>Male</v>
          </cell>
          <cell r="J34" t="str">
            <v>Sohebul Islam</v>
          </cell>
          <cell r="K34" t="str">
            <v>Junior Officer - Commercial</v>
          </cell>
        </row>
        <row r="35">
          <cell r="C35">
            <v>21162017</v>
          </cell>
          <cell r="D35" t="str">
            <v>Kamal Yarn Limited</v>
          </cell>
          <cell r="E35" t="str">
            <v>Active</v>
          </cell>
          <cell r="F35">
            <v>1234</v>
          </cell>
          <cell r="G35" t="str">
            <v>KYL/HO/APL/1234.280317</v>
          </cell>
          <cell r="H35" t="str">
            <v>Mr.</v>
          </cell>
          <cell r="I35" t="str">
            <v>Male</v>
          </cell>
          <cell r="J35" t="str">
            <v>Md. Anowarul Hoque Khan</v>
          </cell>
          <cell r="K35" t="str">
            <v>Trainee Officer - Commercial</v>
          </cell>
        </row>
        <row r="36">
          <cell r="C36">
            <v>21212018</v>
          </cell>
          <cell r="D36" t="str">
            <v>Kamal Yarn Limited</v>
          </cell>
          <cell r="E36" t="str">
            <v>Active</v>
          </cell>
          <cell r="F36">
            <v>1235</v>
          </cell>
          <cell r="G36" t="str">
            <v>KYL/HO/APL/1235.010318</v>
          </cell>
          <cell r="H36" t="str">
            <v>Mr.</v>
          </cell>
          <cell r="I36" t="str">
            <v>Male</v>
          </cell>
          <cell r="J36" t="str">
            <v>Md. Shahadat Hossain</v>
          </cell>
          <cell r="K36" t="str">
            <v>Officer - Finance &amp; Accounts</v>
          </cell>
        </row>
        <row r="37">
          <cell r="C37">
            <v>21222018</v>
          </cell>
          <cell r="D37" t="str">
            <v>Kamal Yarn Limited</v>
          </cell>
          <cell r="E37" t="str">
            <v>Active</v>
          </cell>
          <cell r="F37">
            <v>1236</v>
          </cell>
          <cell r="G37" t="str">
            <v>KYL/HO/APL/1236.010318</v>
          </cell>
          <cell r="H37" t="str">
            <v>Mr.</v>
          </cell>
          <cell r="I37" t="str">
            <v>Male</v>
          </cell>
          <cell r="J37" t="str">
            <v>Md. Najmul Hushain</v>
          </cell>
          <cell r="K37" t="str">
            <v>Trainee Officer - Commercial</v>
          </cell>
        </row>
        <row r="38">
          <cell r="C38">
            <v>21232018</v>
          </cell>
          <cell r="D38" t="str">
            <v>Kamal Yarn Limited</v>
          </cell>
          <cell r="E38" t="str">
            <v>Active</v>
          </cell>
          <cell r="F38">
            <v>1237</v>
          </cell>
          <cell r="G38" t="str">
            <v>KYL/HO/APL/1237.050318</v>
          </cell>
          <cell r="H38" t="str">
            <v>Mr.</v>
          </cell>
          <cell r="I38" t="str">
            <v>Male</v>
          </cell>
          <cell r="J38" t="str">
            <v>Md. Shafiqul Islam</v>
          </cell>
          <cell r="K38" t="str">
            <v>Executive - Commercial</v>
          </cell>
        </row>
        <row r="39">
          <cell r="C39">
            <v>21242018</v>
          </cell>
          <cell r="D39" t="str">
            <v>Kamal Yarn Limited</v>
          </cell>
          <cell r="E39" t="str">
            <v>Active</v>
          </cell>
          <cell r="F39">
            <v>1238</v>
          </cell>
          <cell r="G39" t="str">
            <v>KYL/HO/APL/1238.130216</v>
          </cell>
          <cell r="H39" t="str">
            <v>Mr.</v>
          </cell>
          <cell r="I39" t="str">
            <v>Male</v>
          </cell>
          <cell r="J39" t="str">
            <v>Md. Rubel</v>
          </cell>
          <cell r="K39" t="str">
            <v>Driver</v>
          </cell>
        </row>
        <row r="40">
          <cell r="C40">
            <v>21252018</v>
          </cell>
          <cell r="D40" t="str">
            <v>Kamal Yarn Limited</v>
          </cell>
          <cell r="E40" t="str">
            <v>Active</v>
          </cell>
          <cell r="F40">
            <v>1239</v>
          </cell>
          <cell r="G40" t="str">
            <v>KYL/HO/APL/1239.040114</v>
          </cell>
          <cell r="H40" t="str">
            <v>Mr.</v>
          </cell>
          <cell r="I40" t="str">
            <v>Male</v>
          </cell>
          <cell r="J40" t="str">
            <v>Md. Shazib Madbar</v>
          </cell>
          <cell r="K40" t="str">
            <v>Driver</v>
          </cell>
        </row>
        <row r="41">
          <cell r="C41">
            <v>21282018</v>
          </cell>
          <cell r="D41" t="str">
            <v>Kamal Yarn Limited</v>
          </cell>
          <cell r="E41" t="str">
            <v>Active</v>
          </cell>
          <cell r="F41">
            <v>1240</v>
          </cell>
          <cell r="G41" t="str">
            <v>KYL/HO/APL/1240.150418</v>
          </cell>
          <cell r="H41" t="str">
            <v>Mr.</v>
          </cell>
          <cell r="I41" t="str">
            <v>Male</v>
          </cell>
          <cell r="J41" t="str">
            <v>Md. Zahidul Islam</v>
          </cell>
          <cell r="K41" t="str">
            <v>Trainee Officer - Commercial</v>
          </cell>
        </row>
        <row r="42">
          <cell r="C42">
            <v>21292018</v>
          </cell>
          <cell r="D42" t="str">
            <v>Kamal Yarn Limited</v>
          </cell>
          <cell r="E42" t="str">
            <v>Active</v>
          </cell>
          <cell r="F42">
            <v>1241</v>
          </cell>
          <cell r="G42" t="str">
            <v>KYL/HO/APL/1241.240418</v>
          </cell>
          <cell r="H42" t="str">
            <v>Mr.</v>
          </cell>
          <cell r="I42" t="str">
            <v>Male</v>
          </cell>
          <cell r="J42" t="str">
            <v>Sovo (Md. Shuvo Bhuiyan)</v>
          </cell>
          <cell r="K42" t="str">
            <v>Peon</v>
          </cell>
        </row>
        <row r="43">
          <cell r="C43">
            <v>21312018</v>
          </cell>
          <cell r="D43" t="str">
            <v>Kamal Yarn Limited</v>
          </cell>
          <cell r="E43" t="str">
            <v>Active</v>
          </cell>
          <cell r="F43">
            <v>1242</v>
          </cell>
          <cell r="G43" t="str">
            <v>KYL/HO/APL/1242.070518</v>
          </cell>
          <cell r="H43" t="str">
            <v>Mr.</v>
          </cell>
          <cell r="I43" t="str">
            <v>Male</v>
          </cell>
          <cell r="J43" t="str">
            <v>Muhammad Milon Hossain Molla</v>
          </cell>
          <cell r="K43" t="str">
            <v>Trainee Officer - Commercial</v>
          </cell>
        </row>
        <row r="44">
          <cell r="C44">
            <v>21322018</v>
          </cell>
          <cell r="D44" t="str">
            <v>Kamal Yarn Limited</v>
          </cell>
          <cell r="E44" t="str">
            <v>Active</v>
          </cell>
          <cell r="F44">
            <v>1243</v>
          </cell>
          <cell r="G44" t="str">
            <v>KYL/HO/APL/1243.080518</v>
          </cell>
          <cell r="H44" t="str">
            <v>Mr.</v>
          </cell>
          <cell r="I44" t="str">
            <v>Male</v>
          </cell>
          <cell r="J44" t="str">
            <v>Md. Ridoy Masud Bhuiyan</v>
          </cell>
          <cell r="K44" t="str">
            <v>Officer - Finance &amp; Accounts</v>
          </cell>
        </row>
        <row r="45">
          <cell r="C45">
            <v>21382018</v>
          </cell>
          <cell r="D45" t="str">
            <v>Kamal Yarn Limited</v>
          </cell>
          <cell r="E45" t="str">
            <v>Active</v>
          </cell>
          <cell r="F45">
            <v>1244</v>
          </cell>
          <cell r="G45" t="str">
            <v>KYL/HO/APL/1244.011018</v>
          </cell>
          <cell r="H45" t="str">
            <v>Mr.</v>
          </cell>
          <cell r="I45" t="str">
            <v>Male</v>
          </cell>
          <cell r="J45" t="str">
            <v>Md. Jamal Hossen</v>
          </cell>
          <cell r="K45" t="str">
            <v>Peon</v>
          </cell>
        </row>
        <row r="46">
          <cell r="C46">
            <v>21422018</v>
          </cell>
          <cell r="D46" t="str">
            <v>Kamal Yarn Limited</v>
          </cell>
          <cell r="E46" t="str">
            <v>Active</v>
          </cell>
          <cell r="F46">
            <v>1245</v>
          </cell>
          <cell r="G46" t="str">
            <v>KYL/HO/APL/1245.011218</v>
          </cell>
          <cell r="H46" t="str">
            <v>Mr.</v>
          </cell>
          <cell r="I46" t="str">
            <v>Male</v>
          </cell>
          <cell r="J46" t="str">
            <v>Md. Karimul</v>
          </cell>
          <cell r="K46" t="str">
            <v>Liftman</v>
          </cell>
        </row>
        <row r="47">
          <cell r="C47">
            <v>21442018</v>
          </cell>
          <cell r="D47" t="str">
            <v>Kamal Yarn Limited</v>
          </cell>
          <cell r="E47" t="str">
            <v>Active</v>
          </cell>
          <cell r="F47">
            <v>1246</v>
          </cell>
          <cell r="G47" t="str">
            <v>KYL/HO/APL/1246.121218</v>
          </cell>
          <cell r="H47" t="str">
            <v>Mr.</v>
          </cell>
          <cell r="I47" t="str">
            <v>Male</v>
          </cell>
          <cell r="J47" t="str">
            <v>Dinaj Mia</v>
          </cell>
          <cell r="K47" t="str">
            <v>Peon</v>
          </cell>
        </row>
        <row r="48">
          <cell r="C48">
            <v>21452019</v>
          </cell>
          <cell r="D48" t="str">
            <v>Kamal Yarn Limited</v>
          </cell>
          <cell r="E48" t="str">
            <v>Active</v>
          </cell>
          <cell r="F48">
            <v>1247</v>
          </cell>
          <cell r="G48" t="str">
            <v>KYL/HO/APL/1247.150119</v>
          </cell>
          <cell r="H48" t="str">
            <v>Mr.</v>
          </cell>
          <cell r="I48" t="str">
            <v>Male</v>
          </cell>
          <cell r="J48" t="str">
            <v>Md. Masum Billah</v>
          </cell>
          <cell r="K48" t="str">
            <v>Audit Assistant</v>
          </cell>
        </row>
        <row r="49">
          <cell r="C49">
            <v>21472019</v>
          </cell>
          <cell r="D49" t="str">
            <v>Kamal Yarn Limited</v>
          </cell>
          <cell r="E49" t="str">
            <v>Active</v>
          </cell>
          <cell r="F49">
            <v>1248</v>
          </cell>
          <cell r="G49" t="str">
            <v>KYL/HO/APL/1248.010219</v>
          </cell>
          <cell r="H49" t="str">
            <v>Mr.</v>
          </cell>
          <cell r="I49" t="str">
            <v>Male</v>
          </cell>
          <cell r="J49" t="str">
            <v>Md. Taslim</v>
          </cell>
          <cell r="K49" t="str">
            <v>Officer - Procurement</v>
          </cell>
        </row>
        <row r="50">
          <cell r="C50">
            <v>21492019</v>
          </cell>
          <cell r="D50" t="str">
            <v>Kamal Yarn Limited</v>
          </cell>
          <cell r="E50" t="str">
            <v>Active</v>
          </cell>
          <cell r="F50">
            <v>1249</v>
          </cell>
          <cell r="G50" t="str">
            <v>KYL/HO/APL/1249.030319</v>
          </cell>
          <cell r="H50" t="str">
            <v>Mr.</v>
          </cell>
          <cell r="I50" t="str">
            <v>Male</v>
          </cell>
          <cell r="J50" t="str">
            <v xml:space="preserve">Imam Hossain </v>
          </cell>
          <cell r="K50" t="str">
            <v>Assistant Cook</v>
          </cell>
        </row>
        <row r="51">
          <cell r="C51">
            <v>21502019</v>
          </cell>
          <cell r="D51" t="str">
            <v>Kamal Yarn Limited</v>
          </cell>
          <cell r="E51" t="str">
            <v>Active</v>
          </cell>
          <cell r="F51">
            <v>1250</v>
          </cell>
          <cell r="G51" t="str">
            <v>KYL/HO/APL/1250.300319</v>
          </cell>
          <cell r="H51" t="str">
            <v>Mr.</v>
          </cell>
          <cell r="I51" t="str">
            <v>Male</v>
          </cell>
          <cell r="J51" t="str">
            <v xml:space="preserve">Azizul </v>
          </cell>
          <cell r="K51" t="str">
            <v>Assistant Cook</v>
          </cell>
        </row>
        <row r="52">
          <cell r="C52">
            <v>21512019</v>
          </cell>
          <cell r="D52" t="str">
            <v>Kamal Yarn Limited</v>
          </cell>
          <cell r="E52" t="str">
            <v>Active</v>
          </cell>
          <cell r="F52">
            <v>1251</v>
          </cell>
          <cell r="G52" t="str">
            <v>KYL/HO/APL/1251.011116</v>
          </cell>
          <cell r="H52" t="str">
            <v>Mr.</v>
          </cell>
          <cell r="I52" t="str">
            <v>Male</v>
          </cell>
          <cell r="J52" t="str">
            <v>Nasima</v>
          </cell>
          <cell r="K52" t="str">
            <v>Assistant Cook</v>
          </cell>
        </row>
        <row r="53">
          <cell r="C53">
            <v>21532019</v>
          </cell>
          <cell r="D53" t="str">
            <v>Kamal Yarn Limited</v>
          </cell>
          <cell r="E53" t="str">
            <v>Active</v>
          </cell>
          <cell r="F53">
            <v>1252</v>
          </cell>
          <cell r="G53" t="str">
            <v>KYL/HO/APL/1252.140519</v>
          </cell>
          <cell r="H53" t="str">
            <v>Mr.</v>
          </cell>
          <cell r="I53" t="str">
            <v>Male</v>
          </cell>
          <cell r="J53" t="str">
            <v>Zafor Ahammad</v>
          </cell>
          <cell r="K53" t="str">
            <v>Driver</v>
          </cell>
        </row>
        <row r="54">
          <cell r="C54">
            <v>21562019</v>
          </cell>
          <cell r="D54" t="str">
            <v>Kamal Yarn Limited</v>
          </cell>
          <cell r="E54" t="str">
            <v>Active</v>
          </cell>
          <cell r="F54">
            <v>1253</v>
          </cell>
          <cell r="G54" t="str">
            <v>KYL/HO/APL/1253.040719</v>
          </cell>
          <cell r="H54" t="str">
            <v>Mr.</v>
          </cell>
          <cell r="I54" t="str">
            <v>Male</v>
          </cell>
          <cell r="J54" t="str">
            <v>Md. Imran Hossain</v>
          </cell>
          <cell r="K54" t="str">
            <v>Driver</v>
          </cell>
        </row>
        <row r="55">
          <cell r="C55">
            <v>21592019</v>
          </cell>
          <cell r="D55" t="str">
            <v>Kamal Yarn Limited</v>
          </cell>
          <cell r="E55" t="str">
            <v>Active</v>
          </cell>
          <cell r="F55">
            <v>1254</v>
          </cell>
          <cell r="G55" t="str">
            <v>KYL/HO/APL/1254.070919</v>
          </cell>
          <cell r="H55" t="str">
            <v>Mr.</v>
          </cell>
          <cell r="I55" t="str">
            <v>Male</v>
          </cell>
          <cell r="J55" t="str">
            <v>Md. Sohag Hossain</v>
          </cell>
          <cell r="K55" t="str">
            <v>Assistant Cook</v>
          </cell>
        </row>
        <row r="56">
          <cell r="C56">
            <v>21622019</v>
          </cell>
          <cell r="D56" t="str">
            <v>Kamal Yarn Limited</v>
          </cell>
          <cell r="E56" t="str">
            <v>Inactive</v>
          </cell>
          <cell r="F56">
            <v>1255</v>
          </cell>
          <cell r="G56" t="str">
            <v>KYL/HO/APL/1255.260919</v>
          </cell>
          <cell r="H56" t="str">
            <v>Mr.</v>
          </cell>
          <cell r="I56" t="str">
            <v>Male</v>
          </cell>
          <cell r="J56" t="str">
            <v>Abdul Rahim</v>
          </cell>
          <cell r="K56" t="str">
            <v>Driver</v>
          </cell>
        </row>
        <row r="57">
          <cell r="C57">
            <v>21632019</v>
          </cell>
          <cell r="D57" t="str">
            <v>Kamal Yarn Limited</v>
          </cell>
          <cell r="E57" t="str">
            <v>Active</v>
          </cell>
          <cell r="F57">
            <v>1256</v>
          </cell>
          <cell r="G57" t="str">
            <v>KYL/HO/APL/1256.131019</v>
          </cell>
          <cell r="H57" t="str">
            <v>Mr.</v>
          </cell>
          <cell r="I57" t="str">
            <v>Male</v>
          </cell>
          <cell r="J57" t="str">
            <v>Md. Zillur Rahman</v>
          </cell>
          <cell r="K57" t="str">
            <v>Driver</v>
          </cell>
        </row>
        <row r="58">
          <cell r="C58">
            <v>21602019</v>
          </cell>
          <cell r="D58" t="str">
            <v>Kamal Yarn Limited</v>
          </cell>
          <cell r="E58" t="str">
            <v>Active</v>
          </cell>
          <cell r="F58">
            <v>1257</v>
          </cell>
          <cell r="G58" t="str">
            <v>KYL/HO/APL/1257.050919</v>
          </cell>
          <cell r="H58" t="str">
            <v>Mr.</v>
          </cell>
          <cell r="I58" t="str">
            <v>Male</v>
          </cell>
          <cell r="J58" t="str">
            <v>Muhammad Habibur Rahman FCMA</v>
          </cell>
          <cell r="K58" t="str">
            <v>Chief Financial Officer</v>
          </cell>
        </row>
        <row r="59">
          <cell r="C59">
            <v>21642019</v>
          </cell>
          <cell r="D59" t="str">
            <v>Kamal Yarn Limited</v>
          </cell>
          <cell r="E59" t="str">
            <v>Active</v>
          </cell>
          <cell r="F59">
            <v>1258</v>
          </cell>
          <cell r="G59" t="str">
            <v>KYL/HO/APL/1258.010619</v>
          </cell>
          <cell r="H59" t="str">
            <v>Mr.</v>
          </cell>
          <cell r="I59" t="str">
            <v>Male</v>
          </cell>
          <cell r="J59" t="str">
            <v>Sabuj (Md. Saiful)</v>
          </cell>
          <cell r="K59" t="str">
            <v>Driver</v>
          </cell>
        </row>
        <row r="60">
          <cell r="C60">
            <v>21652019</v>
          </cell>
          <cell r="D60" t="str">
            <v>Kamal Yarn Limited</v>
          </cell>
          <cell r="E60" t="str">
            <v>Inactive</v>
          </cell>
          <cell r="F60">
            <v>1259</v>
          </cell>
          <cell r="G60" t="str">
            <v>KYL/HO/APL/1259.081019</v>
          </cell>
          <cell r="H60" t="str">
            <v>Mr.</v>
          </cell>
          <cell r="I60" t="str">
            <v>Male</v>
          </cell>
          <cell r="J60" t="str">
            <v>Md. Mostafa Kamal</v>
          </cell>
          <cell r="K60" t="str">
            <v>Assistant Cook</v>
          </cell>
        </row>
        <row r="61">
          <cell r="C61">
            <v>21662019</v>
          </cell>
          <cell r="D61" t="str">
            <v>Kamal Yarn Limited</v>
          </cell>
          <cell r="E61" t="str">
            <v>Active</v>
          </cell>
          <cell r="F61">
            <v>1260</v>
          </cell>
          <cell r="G61" t="str">
            <v>KYL/HO/APL/1260.010719</v>
          </cell>
          <cell r="H61" t="str">
            <v>Mr.</v>
          </cell>
          <cell r="I61" t="str">
            <v>Male</v>
          </cell>
          <cell r="J61" t="str">
            <v>Md. Sakawat Hossain Apon</v>
          </cell>
          <cell r="K61" t="str">
            <v>Peon</v>
          </cell>
        </row>
        <row r="62">
          <cell r="C62">
            <v>21672019</v>
          </cell>
          <cell r="D62" t="str">
            <v>Kamal Yarn Limited</v>
          </cell>
          <cell r="E62" t="str">
            <v>Active</v>
          </cell>
          <cell r="F62">
            <v>1261</v>
          </cell>
          <cell r="G62" t="str">
            <v>KYL/HO/APL/1261.211019</v>
          </cell>
          <cell r="H62" t="str">
            <v>Mr.</v>
          </cell>
          <cell r="I62" t="str">
            <v>Male</v>
          </cell>
          <cell r="J62" t="str">
            <v>Md. Salim Miha</v>
          </cell>
          <cell r="K62" t="str">
            <v>Assistant Cook</v>
          </cell>
        </row>
        <row r="63">
          <cell r="C63">
            <v>21682019</v>
          </cell>
          <cell r="D63" t="str">
            <v>Kamal Yarn Limited</v>
          </cell>
          <cell r="E63" t="str">
            <v>Active</v>
          </cell>
          <cell r="F63">
            <v>1262</v>
          </cell>
          <cell r="G63" t="str">
            <v>KYL/HO/APL/1262.121119</v>
          </cell>
          <cell r="H63" t="str">
            <v>Mr.</v>
          </cell>
          <cell r="I63" t="str">
            <v>Male</v>
          </cell>
          <cell r="J63" t="str">
            <v>Md Shafiqul Islam</v>
          </cell>
          <cell r="K63" t="str">
            <v>Driver</v>
          </cell>
        </row>
        <row r="64">
          <cell r="C64">
            <v>21692019</v>
          </cell>
          <cell r="D64" t="str">
            <v>Kamal Yarn Limited</v>
          </cell>
          <cell r="E64" t="str">
            <v>Active</v>
          </cell>
          <cell r="F64">
            <v>1263</v>
          </cell>
          <cell r="G64" t="str">
            <v>KYL/HO/APL/1263.281119</v>
          </cell>
          <cell r="H64" t="str">
            <v>Mr.</v>
          </cell>
          <cell r="I64" t="str">
            <v>Male</v>
          </cell>
          <cell r="J64" t="str">
            <v>Ruhul Amin</v>
          </cell>
          <cell r="K64" t="str">
            <v>Messenger</v>
          </cell>
        </row>
        <row r="65">
          <cell r="C65">
            <v>21702019</v>
          </cell>
          <cell r="D65" t="str">
            <v>Kamal Yarn Limited</v>
          </cell>
          <cell r="E65" t="str">
            <v>Active</v>
          </cell>
          <cell r="F65">
            <v>1264</v>
          </cell>
          <cell r="G65" t="str">
            <v>KYL/HO/APL/1264.011219</v>
          </cell>
          <cell r="H65" t="str">
            <v>Mr.</v>
          </cell>
          <cell r="I65" t="str">
            <v>Male</v>
          </cell>
          <cell r="J65" t="str">
            <v>Md. Riad Hossain</v>
          </cell>
          <cell r="K65" t="str">
            <v>Peon</v>
          </cell>
        </row>
        <row r="66">
          <cell r="C66">
            <v>21712019</v>
          </cell>
          <cell r="D66" t="str">
            <v>Kamal Yarn Limited</v>
          </cell>
          <cell r="E66" t="str">
            <v>Active</v>
          </cell>
          <cell r="F66">
            <v>1265</v>
          </cell>
          <cell r="G66" t="str">
            <v>KYL/HO/APL/1265.290819</v>
          </cell>
          <cell r="H66" t="str">
            <v>Mr.</v>
          </cell>
          <cell r="I66" t="str">
            <v>Male</v>
          </cell>
          <cell r="J66" t="str">
            <v>Md. Shahjahan Mia</v>
          </cell>
          <cell r="K66" t="str">
            <v>Security Officer</v>
          </cell>
        </row>
        <row r="67">
          <cell r="C67">
            <v>21732020</v>
          </cell>
          <cell r="D67" t="str">
            <v>Kamal Yarn Limited</v>
          </cell>
          <cell r="E67" t="str">
            <v>Active</v>
          </cell>
          <cell r="F67">
            <v>1266</v>
          </cell>
          <cell r="G67" t="str">
            <v>KYL/HO/APL/1266.060220</v>
          </cell>
          <cell r="H67" t="str">
            <v>Mr.</v>
          </cell>
          <cell r="I67" t="str">
            <v>Male</v>
          </cell>
          <cell r="J67" t="str">
            <v>Md. Mainuddin</v>
          </cell>
          <cell r="K67" t="str">
            <v>Driver</v>
          </cell>
        </row>
        <row r="68">
          <cell r="C68">
            <v>21752020</v>
          </cell>
          <cell r="D68" t="str">
            <v>Kamal Yarn Limited</v>
          </cell>
          <cell r="E68" t="str">
            <v>Active</v>
          </cell>
          <cell r="F68">
            <v>1267</v>
          </cell>
          <cell r="G68" t="str">
            <v>KYL/HO/APL/1267.200220</v>
          </cell>
          <cell r="H68" t="str">
            <v>Mr.</v>
          </cell>
          <cell r="I68" t="str">
            <v>Male</v>
          </cell>
          <cell r="J68" t="str">
            <v>Md. Mafen Bhuiyan</v>
          </cell>
          <cell r="K68" t="str">
            <v>Trainee - Commercial</v>
          </cell>
        </row>
        <row r="69">
          <cell r="C69">
            <v>21762020</v>
          </cell>
          <cell r="D69" t="str">
            <v>Kamal Yarn Limited</v>
          </cell>
          <cell r="E69" t="str">
            <v>Active</v>
          </cell>
          <cell r="F69">
            <v>1268</v>
          </cell>
          <cell r="G69" t="str">
            <v>KYL/HO/APL/1268.100320</v>
          </cell>
          <cell r="H69" t="str">
            <v>Mr.</v>
          </cell>
          <cell r="I69" t="str">
            <v>Male</v>
          </cell>
          <cell r="J69" t="str">
            <v>Md. Areful Islam</v>
          </cell>
          <cell r="K69" t="str">
            <v>Senior Executive - IT</v>
          </cell>
        </row>
        <row r="70">
          <cell r="C70">
            <v>21782020</v>
          </cell>
          <cell r="D70" t="str">
            <v>Kamal Yarn Limited</v>
          </cell>
          <cell r="E70" t="str">
            <v>Active</v>
          </cell>
          <cell r="F70">
            <v>1269</v>
          </cell>
          <cell r="G70" t="str">
            <v>KYL/HO/APL/1269.110620</v>
          </cell>
          <cell r="H70" t="str">
            <v>Mr.</v>
          </cell>
          <cell r="I70" t="str">
            <v>Male</v>
          </cell>
          <cell r="J70" t="str">
            <v>Md. Bozlur Rahman</v>
          </cell>
          <cell r="K70" t="str">
            <v>Driver</v>
          </cell>
        </row>
        <row r="71">
          <cell r="C71">
            <v>21792020</v>
          </cell>
          <cell r="D71" t="str">
            <v>Kamal Yarn Limited</v>
          </cell>
          <cell r="E71" t="str">
            <v>Active</v>
          </cell>
          <cell r="F71">
            <v>1270</v>
          </cell>
          <cell r="G71" t="str">
            <v>KYL/HO/APL/1270.010920</v>
          </cell>
          <cell r="H71" t="str">
            <v>Mr.</v>
          </cell>
          <cell r="I71" t="str">
            <v>Male</v>
          </cell>
          <cell r="J71" t="str">
            <v>Md. Shihab Kabir</v>
          </cell>
          <cell r="K71" t="str">
            <v>Executive - Finance &amp; Accounts</v>
          </cell>
        </row>
        <row r="72">
          <cell r="C72">
            <v>21802020</v>
          </cell>
          <cell r="D72" t="str">
            <v>Kamal Yarn Limited</v>
          </cell>
          <cell r="E72" t="str">
            <v>Active</v>
          </cell>
          <cell r="F72">
            <v>1271</v>
          </cell>
          <cell r="G72" t="str">
            <v>KYL/HO/APL/1271.010920</v>
          </cell>
          <cell r="H72" t="str">
            <v>Mr.</v>
          </cell>
          <cell r="I72" t="str">
            <v>Male</v>
          </cell>
          <cell r="J72" t="str">
            <v>Md, Jewel Hasan Kamal</v>
          </cell>
          <cell r="K72" t="str">
            <v>Junior Officer - Utility</v>
          </cell>
        </row>
        <row r="73">
          <cell r="C73">
            <v>21812020</v>
          </cell>
          <cell r="D73" t="str">
            <v>Kamal Yarn Limited</v>
          </cell>
          <cell r="E73" t="str">
            <v>Active</v>
          </cell>
          <cell r="F73">
            <v>1272</v>
          </cell>
          <cell r="G73" t="str">
            <v>KYL/HO/APL/1272.160920</v>
          </cell>
          <cell r="H73" t="str">
            <v>Mr.</v>
          </cell>
          <cell r="I73" t="str">
            <v>Male</v>
          </cell>
          <cell r="J73" t="str">
            <v>Md. Maruf Hossain</v>
          </cell>
          <cell r="K73" t="str">
            <v>Junior Officer - Commercial</v>
          </cell>
        </row>
        <row r="74">
          <cell r="C74">
            <v>21822020</v>
          </cell>
          <cell r="D74" t="str">
            <v>Kamal Yarn Limited</v>
          </cell>
          <cell r="E74" t="str">
            <v>Active</v>
          </cell>
          <cell r="F74">
            <v>1273</v>
          </cell>
          <cell r="G74" t="str">
            <v>KYL/HO/APL/1273.280820</v>
          </cell>
          <cell r="H74" t="str">
            <v>Mr.</v>
          </cell>
          <cell r="I74" t="str">
            <v>Male</v>
          </cell>
          <cell r="J74" t="str">
            <v>Md. Parvej Mia</v>
          </cell>
          <cell r="K74" t="str">
            <v>Assistant Cook</v>
          </cell>
        </row>
        <row r="75">
          <cell r="C75">
            <v>21832020</v>
          </cell>
          <cell r="D75" t="str">
            <v>Kamal Yarn Limited</v>
          </cell>
          <cell r="E75" t="str">
            <v>Active</v>
          </cell>
          <cell r="F75">
            <v>1274</v>
          </cell>
          <cell r="G75" t="str">
            <v>KYL/HO/APL/1274.170920</v>
          </cell>
          <cell r="H75" t="str">
            <v>Mr.</v>
          </cell>
          <cell r="I75" t="str">
            <v>Male</v>
          </cell>
          <cell r="J75" t="str">
            <v>Md. Suzad Shek</v>
          </cell>
          <cell r="K75" t="str">
            <v>Driver</v>
          </cell>
        </row>
        <row r="76">
          <cell r="C76">
            <v>21842020</v>
          </cell>
          <cell r="D76" t="str">
            <v>Kamal Yarn Limited</v>
          </cell>
          <cell r="E76" t="str">
            <v>Active</v>
          </cell>
          <cell r="F76">
            <v>1275</v>
          </cell>
          <cell r="G76" t="str">
            <v>KYL/HO/APL/1275.011020</v>
          </cell>
          <cell r="H76" t="str">
            <v>Mr.</v>
          </cell>
          <cell r="I76" t="str">
            <v>Male</v>
          </cell>
          <cell r="J76" t="str">
            <v>Md. Ilius Hossain</v>
          </cell>
          <cell r="K76" t="str">
            <v>Executive - Audit</v>
          </cell>
        </row>
        <row r="77">
          <cell r="C77">
            <v>21852020</v>
          </cell>
          <cell r="D77" t="str">
            <v>Kamal Yarn Limited</v>
          </cell>
          <cell r="E77" t="str">
            <v>Active</v>
          </cell>
          <cell r="F77">
            <v>1276</v>
          </cell>
          <cell r="G77" t="str">
            <v>KYL/HO/APL/1276.011020</v>
          </cell>
          <cell r="H77" t="str">
            <v>Mr.</v>
          </cell>
          <cell r="I77" t="str">
            <v>Male</v>
          </cell>
          <cell r="J77" t="str">
            <v>S. M. Arif Ahmed</v>
          </cell>
          <cell r="K77" t="str">
            <v>??</v>
          </cell>
        </row>
        <row r="78">
          <cell r="C78">
            <v>21872021</v>
          </cell>
          <cell r="D78" t="str">
            <v>Kamal Yarn Limited</v>
          </cell>
          <cell r="E78" t="str">
            <v>Active</v>
          </cell>
          <cell r="F78">
            <v>1277</v>
          </cell>
          <cell r="G78" t="str">
            <v>KYL/HO/APL/1277.270121</v>
          </cell>
          <cell r="H78" t="str">
            <v>Mr.</v>
          </cell>
          <cell r="I78" t="str">
            <v>Male</v>
          </cell>
          <cell r="J78" t="str">
            <v>Md. Rahim</v>
          </cell>
          <cell r="K78" t="str">
            <v>Assistant Cook</v>
          </cell>
        </row>
        <row r="79">
          <cell r="C79">
            <v>21882021</v>
          </cell>
          <cell r="D79" t="str">
            <v>Kamal Yarn Limited</v>
          </cell>
          <cell r="E79" t="str">
            <v>Active</v>
          </cell>
          <cell r="F79">
            <v>1278</v>
          </cell>
          <cell r="G79" t="str">
            <v>KYL/HO/APL/1278.250321</v>
          </cell>
          <cell r="H79" t="str">
            <v>Mr.</v>
          </cell>
          <cell r="I79" t="str">
            <v>Male</v>
          </cell>
          <cell r="J79" t="str">
            <v>Md. Golam Rabbani</v>
          </cell>
          <cell r="K79" t="str">
            <v>Driver</v>
          </cell>
        </row>
        <row r="80">
          <cell r="C80">
            <v>21892021</v>
          </cell>
          <cell r="D80" t="str">
            <v>Kamal Yarn Limited</v>
          </cell>
          <cell r="E80" t="str">
            <v>Active</v>
          </cell>
          <cell r="F80">
            <v>1279</v>
          </cell>
          <cell r="G80" t="str">
            <v>KYL/HO/APL/1279.010621</v>
          </cell>
          <cell r="H80" t="str">
            <v>Mr.</v>
          </cell>
          <cell r="I80" t="str">
            <v>Male</v>
          </cell>
          <cell r="J80" t="str">
            <v>Md. Rafiqul Islam</v>
          </cell>
          <cell r="K80" t="str">
            <v>Driver</v>
          </cell>
        </row>
        <row r="81">
          <cell r="C81">
            <v>21912021</v>
          </cell>
          <cell r="D81" t="str">
            <v>Kamal Yarn Limited</v>
          </cell>
          <cell r="E81" t="str">
            <v>Inactive</v>
          </cell>
          <cell r="F81">
            <v>1280</v>
          </cell>
          <cell r="G81" t="str">
            <v>KYL/HO/APL/1280.060621</v>
          </cell>
          <cell r="H81" t="str">
            <v>Mr.</v>
          </cell>
          <cell r="I81" t="str">
            <v>Male</v>
          </cell>
          <cell r="J81" t="str">
            <v>Md. Rubel Khalifa</v>
          </cell>
          <cell r="K81" t="str">
            <v>Trainee</v>
          </cell>
        </row>
        <row r="82">
          <cell r="C82">
            <v>21922021</v>
          </cell>
          <cell r="D82" t="str">
            <v>Kamal Yarn Limited</v>
          </cell>
          <cell r="E82" t="str">
            <v>Active</v>
          </cell>
          <cell r="F82">
            <v>1281</v>
          </cell>
          <cell r="G82" t="str">
            <v>KYL/HO/APL/1281.300621</v>
          </cell>
          <cell r="H82" t="str">
            <v>Mr.</v>
          </cell>
          <cell r="I82" t="str">
            <v>Male</v>
          </cell>
          <cell r="J82" t="str">
            <v>Asim Imtiaz</v>
          </cell>
          <cell r="K82" t="str">
            <v>Trainee - Commercial</v>
          </cell>
        </row>
        <row r="83">
          <cell r="C83">
            <v>21932021</v>
          </cell>
          <cell r="D83" t="str">
            <v>Kamal Yarn Limited</v>
          </cell>
          <cell r="E83" t="str">
            <v>Active</v>
          </cell>
          <cell r="F83">
            <v>1282</v>
          </cell>
          <cell r="G83" t="str">
            <v>KYL/HO/APL/1282.300621</v>
          </cell>
          <cell r="H83" t="str">
            <v>Mr.</v>
          </cell>
          <cell r="I83" t="str">
            <v>Male</v>
          </cell>
          <cell r="J83" t="str">
            <v>Md. Sahadat Hossain</v>
          </cell>
          <cell r="K83" t="str">
            <v>Assistant Manager - Marketing</v>
          </cell>
        </row>
        <row r="84">
          <cell r="C84">
            <v>21942021</v>
          </cell>
          <cell r="D84" t="str">
            <v>Kamal Yarn Limited</v>
          </cell>
          <cell r="E84" t="str">
            <v>Active</v>
          </cell>
          <cell r="F84">
            <v>1283</v>
          </cell>
          <cell r="G84" t="str">
            <v>KYL/HO/APL/1283.050821</v>
          </cell>
          <cell r="H84" t="str">
            <v>Mr.</v>
          </cell>
          <cell r="I84" t="str">
            <v>Male</v>
          </cell>
          <cell r="J84" t="str">
            <v>Md. Imran Hossain</v>
          </cell>
          <cell r="K84" t="str">
            <v>Assistant Manager - Import</v>
          </cell>
        </row>
        <row r="85">
          <cell r="C85">
            <v>21952021</v>
          </cell>
          <cell r="D85" t="str">
            <v>Kamal Yarn Limited</v>
          </cell>
          <cell r="E85" t="str">
            <v>Active</v>
          </cell>
          <cell r="F85">
            <v>1284</v>
          </cell>
          <cell r="G85" t="str">
            <v>KYL/HO/APL/1284.050821</v>
          </cell>
          <cell r="H85" t="str">
            <v>Mr.</v>
          </cell>
          <cell r="I85" t="str">
            <v>Male</v>
          </cell>
          <cell r="J85" t="str">
            <v>Md. Jamal</v>
          </cell>
          <cell r="K85" t="str">
            <v>Driver</v>
          </cell>
        </row>
        <row r="86">
          <cell r="C86">
            <v>21962021</v>
          </cell>
          <cell r="D86" t="str">
            <v>Kamal Yarn Limited</v>
          </cell>
          <cell r="E86" t="str">
            <v>Active</v>
          </cell>
          <cell r="F86">
            <v>1285</v>
          </cell>
          <cell r="G86" t="str">
            <v>KYL/HO/APL/1285.170821</v>
          </cell>
          <cell r="H86" t="str">
            <v>Mr.</v>
          </cell>
          <cell r="I86" t="str">
            <v>Male</v>
          </cell>
          <cell r="J86" t="str">
            <v>Md. Rakib Khan</v>
          </cell>
          <cell r="K86" t="str">
            <v>Assistant Cook</v>
          </cell>
        </row>
        <row r="87">
          <cell r="C87">
            <v>21972021</v>
          </cell>
          <cell r="D87" t="str">
            <v>Kamal Yarn Limited</v>
          </cell>
          <cell r="E87" t="str">
            <v>Active</v>
          </cell>
          <cell r="F87">
            <v>1286</v>
          </cell>
          <cell r="G87" t="str">
            <v>KYL/HO/APL/1286.090921</v>
          </cell>
          <cell r="H87" t="str">
            <v>Mr.</v>
          </cell>
          <cell r="I87" t="str">
            <v>Male</v>
          </cell>
          <cell r="J87" t="str">
            <v>Md. Didar</v>
          </cell>
          <cell r="K87" t="str">
            <v>Driver</v>
          </cell>
        </row>
        <row r="88">
          <cell r="C88">
            <v>21982021</v>
          </cell>
          <cell r="D88" t="str">
            <v>Kamal Yarn Limited</v>
          </cell>
          <cell r="E88" t="str">
            <v>Active</v>
          </cell>
          <cell r="F88">
            <v>1287</v>
          </cell>
          <cell r="G88" t="str">
            <v>KYL/HO/APL/1287.011121</v>
          </cell>
          <cell r="H88" t="str">
            <v>Mr.</v>
          </cell>
          <cell r="I88" t="str">
            <v>Male</v>
          </cell>
          <cell r="J88" t="str">
            <v>Saon Rana</v>
          </cell>
          <cell r="K88" t="str">
            <v>Trainee Officer - Commercial</v>
          </cell>
        </row>
        <row r="89">
          <cell r="D89" t="str">
            <v>Kamal Yarn Limited</v>
          </cell>
          <cell r="G89" t="str">
            <v>KYL/HO/APL/.000100</v>
          </cell>
          <cell r="H89" t="str">
            <v>Mr.</v>
          </cell>
          <cell r="I89" t="str">
            <v>Male</v>
          </cell>
        </row>
        <row r="90">
          <cell r="C90">
            <v>10762016</v>
          </cell>
          <cell r="D90" t="str">
            <v>Kamal Yarn Limited</v>
          </cell>
          <cell r="E90" t="str">
            <v>Active</v>
          </cell>
          <cell r="F90">
            <v>1283</v>
          </cell>
          <cell r="G90" t="str">
            <v>KYL/HO/APL/1283.300414</v>
          </cell>
          <cell r="H90" t="str">
            <v>Mr.</v>
          </cell>
          <cell r="I90" t="str">
            <v>Male</v>
          </cell>
          <cell r="J90" t="str">
            <v>Md. Rashid Ahmed</v>
          </cell>
          <cell r="K90" t="str">
            <v>Officer - IT</v>
          </cell>
        </row>
        <row r="91">
          <cell r="C91">
            <v>30150000</v>
          </cell>
          <cell r="D91" t="str">
            <v>Kamal Yarn Limited</v>
          </cell>
          <cell r="E91" t="str">
            <v>Active</v>
          </cell>
          <cell r="F91">
            <v>1284</v>
          </cell>
          <cell r="G91" t="str">
            <v>KYL/HO/APL/1284.010212</v>
          </cell>
          <cell r="H91" t="str">
            <v>Mr.</v>
          </cell>
          <cell r="I91" t="str">
            <v>Male</v>
          </cell>
          <cell r="J91" t="str">
            <v>Md. Rabiul Alam</v>
          </cell>
          <cell r="K91" t="str">
            <v xml:space="preserve">Head of Procurement </v>
          </cell>
        </row>
        <row r="92">
          <cell r="C92">
            <v>30211994</v>
          </cell>
          <cell r="D92" t="str">
            <v>Kamal Yarn Limited</v>
          </cell>
          <cell r="E92" t="str">
            <v>Active</v>
          </cell>
          <cell r="F92">
            <v>1285</v>
          </cell>
          <cell r="G92" t="str">
            <v>KYL/HO/APL/1285.060194</v>
          </cell>
          <cell r="H92" t="str">
            <v>Mr.</v>
          </cell>
          <cell r="I92" t="str">
            <v>Male</v>
          </cell>
          <cell r="J92" t="str">
            <v>Ashadullaha Ahamed</v>
          </cell>
          <cell r="K92" t="str">
            <v xml:space="preserve">In-Charge </v>
          </cell>
        </row>
        <row r="93">
          <cell r="C93">
            <v>30482016</v>
          </cell>
          <cell r="D93" t="str">
            <v>Kamal Yarn Limited</v>
          </cell>
          <cell r="E93" t="str">
            <v>Active</v>
          </cell>
          <cell r="F93">
            <v>1286</v>
          </cell>
          <cell r="G93" t="str">
            <v>KYL/HO/APL/1286.010714</v>
          </cell>
          <cell r="H93" t="str">
            <v>Mr.</v>
          </cell>
          <cell r="I93" t="str">
            <v>Male</v>
          </cell>
          <cell r="J93" t="str">
            <v>Md. Mohin</v>
          </cell>
          <cell r="K93" t="str">
            <v>Electrician</v>
          </cell>
        </row>
        <row r="94">
          <cell r="C94">
            <v>30572016</v>
          </cell>
          <cell r="D94" t="str">
            <v>Kamal Yarn Limited</v>
          </cell>
          <cell r="E94" t="str">
            <v>Active</v>
          </cell>
          <cell r="F94">
            <v>1287</v>
          </cell>
          <cell r="G94" t="str">
            <v>KYL/HO/APL/1287.261116</v>
          </cell>
          <cell r="H94" t="str">
            <v>Mr.</v>
          </cell>
          <cell r="I94" t="str">
            <v>Male</v>
          </cell>
          <cell r="J94" t="str">
            <v>Md. Abdus Sabur Talukder</v>
          </cell>
          <cell r="K94" t="str">
            <v>Senior Executive - Internal Audit</v>
          </cell>
        </row>
        <row r="95">
          <cell r="D95" t="str">
            <v>Kamal Yarn Limited</v>
          </cell>
          <cell r="G95" t="str">
            <v>KYL/HO/APL/.000100</v>
          </cell>
          <cell r="H95" t="str">
            <v>Mr.</v>
          </cell>
          <cell r="I95" t="str">
            <v>Male</v>
          </cell>
        </row>
        <row r="96">
          <cell r="D96" t="str">
            <v>Kamal Yarn Limited</v>
          </cell>
          <cell r="G96" t="str">
            <v>KYL/HO/APL/.000100</v>
          </cell>
          <cell r="H96" t="str">
            <v>Mr.</v>
          </cell>
          <cell r="I96" t="str">
            <v>Male</v>
          </cell>
        </row>
        <row r="97">
          <cell r="D97" t="str">
            <v>Kamal Yarn Limited</v>
          </cell>
          <cell r="G97" t="str">
            <v>KYL/HO/APL/.000100</v>
          </cell>
          <cell r="H97" t="str">
            <v>Mr.</v>
          </cell>
          <cell r="I97" t="str">
            <v>Male</v>
          </cell>
        </row>
        <row r="98">
          <cell r="D98" t="str">
            <v>Kamal Yarn Limited</v>
          </cell>
          <cell r="G98" t="str">
            <v>KYL/HO/APL/.000100</v>
          </cell>
          <cell r="H98" t="str">
            <v>Mr.</v>
          </cell>
          <cell r="I98" t="str">
            <v>Male</v>
          </cell>
        </row>
        <row r="99">
          <cell r="D99" t="str">
            <v>Kamal Yarn Limited</v>
          </cell>
          <cell r="G99" t="str">
            <v>KYL/HO/APL/.000100</v>
          </cell>
          <cell r="H99" t="str">
            <v>Mr.</v>
          </cell>
          <cell r="I99" t="str">
            <v>Male</v>
          </cell>
        </row>
        <row r="100">
          <cell r="D100" t="str">
            <v>Kamal Yarn Limited</v>
          </cell>
          <cell r="G100" t="str">
            <v>KYL/HO/APL/.000100</v>
          </cell>
          <cell r="H100" t="str">
            <v>Mr.</v>
          </cell>
          <cell r="I100" t="str">
            <v>Male</v>
          </cell>
        </row>
        <row r="101">
          <cell r="D101" t="str">
            <v>Kamal Yarn Limited</v>
          </cell>
          <cell r="G101" t="str">
            <v>KYL/HO/APL/.000100</v>
          </cell>
          <cell r="H101" t="str">
            <v>Mr.</v>
          </cell>
          <cell r="I101" t="str">
            <v>Male</v>
          </cell>
        </row>
        <row r="102">
          <cell r="D102" t="str">
            <v>Kamal Yarn Limited</v>
          </cell>
          <cell r="G102" t="str">
            <v>KYL/HO/APL/.000100</v>
          </cell>
          <cell r="H102" t="str">
            <v>Mr.</v>
          </cell>
          <cell r="I102" t="str">
            <v>Male</v>
          </cell>
        </row>
        <row r="105">
          <cell r="G105">
            <v>89</v>
          </cell>
        </row>
      </sheetData>
      <sheetData sheetId="4"/>
      <sheetData sheetId="5">
        <row r="1">
          <cell r="C1" t="str">
            <v>ID</v>
          </cell>
          <cell r="D1" t="str">
            <v>Company_Name</v>
          </cell>
          <cell r="E1" t="str">
            <v>Status</v>
          </cell>
          <cell r="F1" t="str">
            <v>J_SL</v>
          </cell>
          <cell r="G1" t="str">
            <v>Ref</v>
          </cell>
          <cell r="H1" t="str">
            <v>Title</v>
          </cell>
          <cell r="I1" t="str">
            <v>Gender</v>
          </cell>
          <cell r="J1" t="str">
            <v xml:space="preserve">Name </v>
          </cell>
          <cell r="K1" t="str">
            <v xml:space="preserve">Designation </v>
          </cell>
        </row>
        <row r="2">
          <cell r="C2">
            <v>40052018</v>
          </cell>
          <cell r="D2" t="str">
            <v>Pioneer Denim Limited</v>
          </cell>
          <cell r="E2" t="str">
            <v>Active</v>
          </cell>
          <cell r="F2">
            <v>1401</v>
          </cell>
          <cell r="G2" t="str">
            <v>PDL/HO/APL/1401.080518</v>
          </cell>
          <cell r="H2" t="str">
            <v>Mr.</v>
          </cell>
          <cell r="I2" t="str">
            <v>Male</v>
          </cell>
          <cell r="J2" t="str">
            <v>Atekur Rahman Nayim</v>
          </cell>
          <cell r="K2" t="str">
            <v>Relationship Manager</v>
          </cell>
        </row>
        <row r="3">
          <cell r="C3">
            <v>40312017</v>
          </cell>
          <cell r="D3" t="str">
            <v>Pioneer Denim Limited</v>
          </cell>
          <cell r="E3" t="str">
            <v>Active</v>
          </cell>
          <cell r="F3">
            <v>1402</v>
          </cell>
          <cell r="G3" t="str">
            <v>PDL/HO/APL/1402.270217</v>
          </cell>
          <cell r="H3" t="str">
            <v>Mr.</v>
          </cell>
          <cell r="I3" t="str">
            <v>Male</v>
          </cell>
          <cell r="J3" t="str">
            <v>Md. Shahidul Islam</v>
          </cell>
          <cell r="K3" t="str">
            <v>Assistant Manager - Finance &amp; Accounts</v>
          </cell>
        </row>
        <row r="4">
          <cell r="C4">
            <v>40322018</v>
          </cell>
          <cell r="D4" t="str">
            <v>Pioneer Denim Limited</v>
          </cell>
          <cell r="E4" t="str">
            <v>Active</v>
          </cell>
          <cell r="F4">
            <v>1403</v>
          </cell>
          <cell r="G4" t="str">
            <v>PDL/HO/APL/1403.070818</v>
          </cell>
          <cell r="H4" t="str">
            <v>Mr.</v>
          </cell>
          <cell r="I4" t="str">
            <v>Male</v>
          </cell>
          <cell r="J4" t="str">
            <v>Nabil Hasan</v>
          </cell>
          <cell r="K4" t="str">
            <v>Messenger</v>
          </cell>
        </row>
        <row r="5">
          <cell r="C5">
            <v>40332018</v>
          </cell>
          <cell r="D5" t="str">
            <v>Pioneer Denim Limited</v>
          </cell>
          <cell r="E5" t="str">
            <v>Active</v>
          </cell>
          <cell r="F5">
            <v>1404</v>
          </cell>
          <cell r="G5" t="str">
            <v>PDL/HO/APL/1404.140818</v>
          </cell>
          <cell r="H5" t="str">
            <v>Mr.</v>
          </cell>
          <cell r="I5" t="str">
            <v>Male</v>
          </cell>
          <cell r="J5" t="str">
            <v>Jalal Gazi</v>
          </cell>
          <cell r="K5" t="str">
            <v>Cleaner</v>
          </cell>
        </row>
        <row r="6">
          <cell r="C6">
            <v>40362018</v>
          </cell>
          <cell r="D6" t="str">
            <v>Pioneer Denim Limited</v>
          </cell>
          <cell r="E6" t="str">
            <v>Active</v>
          </cell>
          <cell r="F6">
            <v>1405</v>
          </cell>
          <cell r="G6" t="str">
            <v>PDL/HO/APL/1405.010918</v>
          </cell>
          <cell r="H6" t="str">
            <v>Mr.</v>
          </cell>
          <cell r="I6" t="str">
            <v>Male</v>
          </cell>
          <cell r="J6" t="str">
            <v>Md. Hasibul Huda</v>
          </cell>
          <cell r="K6" t="str">
            <v>DGM - Marketing</v>
          </cell>
        </row>
        <row r="7">
          <cell r="C7">
            <v>40372018</v>
          </cell>
          <cell r="D7" t="str">
            <v>Pioneer Denim Limited</v>
          </cell>
          <cell r="E7" t="str">
            <v>Active</v>
          </cell>
          <cell r="F7">
            <v>1406</v>
          </cell>
          <cell r="G7" t="str">
            <v>PDL/HO/APL/1406.021018</v>
          </cell>
          <cell r="H7" t="str">
            <v>Mr.</v>
          </cell>
          <cell r="I7" t="str">
            <v>Male</v>
          </cell>
          <cell r="J7" t="str">
            <v>Gazi Fayshal Ahmed</v>
          </cell>
          <cell r="K7" t="str">
            <v>Junior Relationship Manager</v>
          </cell>
        </row>
        <row r="8">
          <cell r="C8">
            <v>40422018</v>
          </cell>
          <cell r="D8" t="str">
            <v>Pioneer Denim Limited</v>
          </cell>
          <cell r="E8" t="str">
            <v>Inactive</v>
          </cell>
          <cell r="F8">
            <v>1407</v>
          </cell>
          <cell r="G8" t="str">
            <v>PDL/HO/APL/1407.031018</v>
          </cell>
          <cell r="H8" t="str">
            <v>Mr.</v>
          </cell>
          <cell r="I8" t="str">
            <v>Male</v>
          </cell>
          <cell r="J8" t="str">
            <v>Md. Shohidulla Hossan</v>
          </cell>
          <cell r="K8" t="str">
            <v>Executive - Procurement</v>
          </cell>
        </row>
        <row r="9">
          <cell r="C9">
            <v>40432018</v>
          </cell>
          <cell r="D9" t="str">
            <v>Pioneer Denim Limited</v>
          </cell>
          <cell r="E9" t="str">
            <v>Active</v>
          </cell>
          <cell r="F9">
            <v>1408</v>
          </cell>
          <cell r="G9" t="str">
            <v>PDL/HO/APL/1408.181118</v>
          </cell>
          <cell r="H9" t="str">
            <v>Mr.</v>
          </cell>
          <cell r="I9" t="str">
            <v>Male</v>
          </cell>
          <cell r="J9" t="str">
            <v>Md. Zahidur Rahman</v>
          </cell>
          <cell r="K9" t="str">
            <v>Assistant Relationship Manager</v>
          </cell>
        </row>
        <row r="10">
          <cell r="C10">
            <v>40442018</v>
          </cell>
          <cell r="D10" t="str">
            <v>Pioneer Denim Limited</v>
          </cell>
          <cell r="E10" t="str">
            <v>Active</v>
          </cell>
          <cell r="F10">
            <v>1409</v>
          </cell>
          <cell r="G10" t="str">
            <v>PDL/HO/APL/1409.191118</v>
          </cell>
          <cell r="H10" t="str">
            <v>Mr.</v>
          </cell>
          <cell r="I10" t="str">
            <v>Male</v>
          </cell>
          <cell r="J10" t="str">
            <v>Mohammad Tamjid Hasan</v>
          </cell>
          <cell r="K10" t="str">
            <v>Trainee - Commercial</v>
          </cell>
        </row>
        <row r="11">
          <cell r="C11">
            <v>40452018</v>
          </cell>
          <cell r="D11" t="str">
            <v>Pioneer Denim Limited</v>
          </cell>
          <cell r="E11" t="str">
            <v>Active</v>
          </cell>
          <cell r="F11">
            <v>1410</v>
          </cell>
          <cell r="G11" t="str">
            <v>PDL/HO/APL/1410.201118</v>
          </cell>
          <cell r="H11" t="str">
            <v>Mr.</v>
          </cell>
          <cell r="I11" t="str">
            <v>Male</v>
          </cell>
          <cell r="J11" t="str">
            <v>Md. Mahmudul Hasan</v>
          </cell>
          <cell r="K11" t="str">
            <v>Trainee Officer - Finance &amp; Accounts</v>
          </cell>
        </row>
        <row r="12">
          <cell r="C12">
            <v>40462018</v>
          </cell>
          <cell r="D12" t="str">
            <v>Pioneer Denim Limited</v>
          </cell>
          <cell r="E12" t="str">
            <v>Active</v>
          </cell>
          <cell r="F12">
            <v>1411</v>
          </cell>
          <cell r="G12" t="str">
            <v>PDL/HO/APL/1411.101118</v>
          </cell>
          <cell r="H12" t="str">
            <v>Mr.</v>
          </cell>
          <cell r="I12" t="str">
            <v>Male</v>
          </cell>
          <cell r="J12" t="str">
            <v>Md. Tushar (Tariqul Islam)</v>
          </cell>
          <cell r="K12" t="str">
            <v>Trainee Officer - Finance &amp; Accounts</v>
          </cell>
        </row>
        <row r="13">
          <cell r="C13">
            <v>40502018</v>
          </cell>
          <cell r="D13" t="str">
            <v>Pioneer Denim Limited</v>
          </cell>
          <cell r="E13" t="str">
            <v>Active</v>
          </cell>
          <cell r="F13">
            <v>1412</v>
          </cell>
          <cell r="G13" t="str">
            <v>PDL/HO/APL/1412.011218</v>
          </cell>
          <cell r="H13" t="str">
            <v>Mr.</v>
          </cell>
          <cell r="I13" t="str">
            <v>Male</v>
          </cell>
          <cell r="J13" t="str">
            <v>Shamsuzzaman</v>
          </cell>
          <cell r="K13" t="str">
            <v>Executive - Procurement</v>
          </cell>
        </row>
        <row r="14">
          <cell r="C14">
            <v>40512018</v>
          </cell>
          <cell r="D14" t="str">
            <v>Pioneer Denim Limited</v>
          </cell>
          <cell r="E14" t="str">
            <v>Active</v>
          </cell>
          <cell r="F14">
            <v>1413</v>
          </cell>
          <cell r="G14" t="str">
            <v>PDL/HO/APL/1413.011218</v>
          </cell>
          <cell r="H14" t="str">
            <v>Mr.</v>
          </cell>
          <cell r="I14" t="str">
            <v>Male</v>
          </cell>
          <cell r="J14" t="str">
            <v>Mohammad Kamruzzaman Noman</v>
          </cell>
          <cell r="K14" t="str">
            <v>Officer - Finance &amp; Accounts</v>
          </cell>
        </row>
        <row r="15">
          <cell r="C15">
            <v>40522018</v>
          </cell>
          <cell r="D15" t="str">
            <v>Pioneer Denim Limited</v>
          </cell>
          <cell r="E15" t="str">
            <v>Active</v>
          </cell>
          <cell r="F15">
            <v>1414</v>
          </cell>
          <cell r="G15" t="str">
            <v>PDL/HO/APL/1414.051218</v>
          </cell>
          <cell r="H15" t="str">
            <v>Mr.</v>
          </cell>
          <cell r="I15" t="str">
            <v>Male</v>
          </cell>
          <cell r="J15" t="str">
            <v>Md. Mizanur Rahman</v>
          </cell>
          <cell r="K15" t="str">
            <v>Assistant Manager - Procurement</v>
          </cell>
        </row>
        <row r="16">
          <cell r="C16">
            <v>40592019</v>
          </cell>
          <cell r="D16" t="str">
            <v>Pioneer Denim Limited</v>
          </cell>
          <cell r="E16" t="str">
            <v>Active</v>
          </cell>
          <cell r="F16">
            <v>1415</v>
          </cell>
          <cell r="G16" t="str">
            <v>PDL/HO/APL/1415.010119</v>
          </cell>
          <cell r="H16" t="str">
            <v>Mr.</v>
          </cell>
          <cell r="I16" t="str">
            <v>Male</v>
          </cell>
          <cell r="J16" t="str">
            <v>Abrar Rahman Siam</v>
          </cell>
          <cell r="K16" t="str">
            <v>Junior Relationship Manager</v>
          </cell>
        </row>
        <row r="17">
          <cell r="C17">
            <v>40602019</v>
          </cell>
          <cell r="D17" t="str">
            <v>Pioneer Denim Limited</v>
          </cell>
          <cell r="E17" t="str">
            <v>Active</v>
          </cell>
          <cell r="F17">
            <v>1416</v>
          </cell>
          <cell r="G17" t="str">
            <v>PDL/HO/APL/1416.010119</v>
          </cell>
          <cell r="H17" t="str">
            <v>Mr.</v>
          </cell>
          <cell r="I17" t="str">
            <v>Male</v>
          </cell>
          <cell r="J17" t="str">
            <v>Mohammad Rafiqul Islam</v>
          </cell>
          <cell r="K17" t="str">
            <v>Head of Costing</v>
          </cell>
        </row>
        <row r="18">
          <cell r="C18">
            <v>40622019</v>
          </cell>
          <cell r="D18" t="str">
            <v>Pioneer Denim Limited</v>
          </cell>
          <cell r="E18" t="str">
            <v>Active</v>
          </cell>
          <cell r="F18">
            <v>1417</v>
          </cell>
          <cell r="G18" t="str">
            <v>PDL/HO/APL/1417.130119</v>
          </cell>
          <cell r="H18" t="str">
            <v>Mr.</v>
          </cell>
          <cell r="I18" t="str">
            <v>Male</v>
          </cell>
          <cell r="J18" t="str">
            <v>Md. Munirul Islam</v>
          </cell>
          <cell r="K18" t="str">
            <v>Trainee - Commercial</v>
          </cell>
        </row>
        <row r="19">
          <cell r="C19">
            <v>40652019</v>
          </cell>
          <cell r="D19" t="str">
            <v>Pioneer Denim Limited</v>
          </cell>
          <cell r="E19" t="str">
            <v>Active</v>
          </cell>
          <cell r="F19">
            <v>1418</v>
          </cell>
          <cell r="G19" t="str">
            <v>PDL/HO/APL/1418.030219</v>
          </cell>
          <cell r="H19" t="str">
            <v>Mr.</v>
          </cell>
          <cell r="I19" t="str">
            <v>Male</v>
          </cell>
          <cell r="J19" t="str">
            <v>Md. Arafat Hossain</v>
          </cell>
          <cell r="K19" t="str">
            <v>Assistant Relationship Manager</v>
          </cell>
        </row>
        <row r="20">
          <cell r="C20">
            <v>40672019</v>
          </cell>
          <cell r="D20" t="str">
            <v>Pioneer Denim Limited</v>
          </cell>
          <cell r="E20" t="str">
            <v>Active</v>
          </cell>
          <cell r="F20">
            <v>1419</v>
          </cell>
          <cell r="G20" t="str">
            <v>PDL/HO/APL/1419.070219</v>
          </cell>
          <cell r="H20" t="str">
            <v>Mr.</v>
          </cell>
          <cell r="I20" t="str">
            <v>Male</v>
          </cell>
          <cell r="J20" t="str">
            <v>Daud Bin Jafar</v>
          </cell>
          <cell r="K20" t="str">
            <v>DGM - Marketing</v>
          </cell>
        </row>
        <row r="21">
          <cell r="C21">
            <v>40712019</v>
          </cell>
          <cell r="D21" t="str">
            <v>Pioneer Denim Limited</v>
          </cell>
          <cell r="E21" t="str">
            <v>Active</v>
          </cell>
          <cell r="F21">
            <v>1420</v>
          </cell>
          <cell r="G21" t="str">
            <v>PDL/HO/APL/1420.160219</v>
          </cell>
          <cell r="H21" t="str">
            <v>Mr.</v>
          </cell>
          <cell r="I21" t="str">
            <v>Male</v>
          </cell>
          <cell r="J21" t="str">
            <v>Chitta Ranjan Saha</v>
          </cell>
          <cell r="K21" t="str">
            <v>Manager - Finance &amp; Accounts</v>
          </cell>
        </row>
        <row r="22">
          <cell r="C22">
            <v>40732019</v>
          </cell>
          <cell r="D22" t="str">
            <v>Pioneer Denim Limited</v>
          </cell>
          <cell r="E22" t="str">
            <v>Active</v>
          </cell>
          <cell r="F22">
            <v>1421</v>
          </cell>
          <cell r="G22" t="str">
            <v>PDL/HO/APL/1421.020519</v>
          </cell>
          <cell r="H22" t="str">
            <v>Mr.</v>
          </cell>
          <cell r="I22" t="str">
            <v>Male</v>
          </cell>
          <cell r="J22" t="str">
            <v>Shahriar Mahmud</v>
          </cell>
          <cell r="K22" t="str">
            <v>Trainee - Commercial</v>
          </cell>
        </row>
        <row r="23">
          <cell r="C23">
            <v>40772019</v>
          </cell>
          <cell r="D23" t="str">
            <v>Pioneer Denim Limited</v>
          </cell>
          <cell r="E23" t="str">
            <v>Inactive</v>
          </cell>
          <cell r="F23">
            <v>1422</v>
          </cell>
          <cell r="G23" t="str">
            <v>PDL/HO/APL/1422.060419</v>
          </cell>
          <cell r="H23" t="str">
            <v>Mr.</v>
          </cell>
          <cell r="I23" t="str">
            <v>Male</v>
          </cell>
          <cell r="J23" t="str">
            <v>Md. Emran Hossain Khan</v>
          </cell>
          <cell r="K23" t="str">
            <v>Junior Relationship Manager</v>
          </cell>
        </row>
        <row r="24">
          <cell r="C24">
            <v>40782019</v>
          </cell>
          <cell r="D24" t="str">
            <v>Pioneer Denim Limited</v>
          </cell>
          <cell r="E24" t="str">
            <v>Active</v>
          </cell>
          <cell r="F24">
            <v>1423</v>
          </cell>
          <cell r="G24" t="str">
            <v>PDL/HO/APL/1423.130419</v>
          </cell>
          <cell r="H24" t="str">
            <v>Mr.</v>
          </cell>
          <cell r="I24" t="str">
            <v>Male</v>
          </cell>
          <cell r="J24" t="str">
            <v>Abu Saleh Md Musa</v>
          </cell>
          <cell r="K24" t="str">
            <v>Junior Relationship Manager</v>
          </cell>
        </row>
        <row r="25">
          <cell r="C25">
            <v>40822019</v>
          </cell>
          <cell r="D25" t="str">
            <v>Pioneer Denim Limited</v>
          </cell>
          <cell r="E25" t="str">
            <v>Active</v>
          </cell>
          <cell r="F25">
            <v>1424</v>
          </cell>
          <cell r="G25" t="str">
            <v>PDL/HO/APL/1424.120919</v>
          </cell>
          <cell r="H25" t="str">
            <v>Mr.</v>
          </cell>
          <cell r="I25" t="str">
            <v>Male</v>
          </cell>
          <cell r="J25" t="str">
            <v>Md. Ashiqur Rahman</v>
          </cell>
          <cell r="K25" t="str">
            <v>Head of Finance &amp; Accounts</v>
          </cell>
        </row>
        <row r="26">
          <cell r="C26">
            <v>40842019</v>
          </cell>
          <cell r="D26" t="str">
            <v>Pioneer Denim Limited</v>
          </cell>
          <cell r="E26" t="str">
            <v>Active</v>
          </cell>
          <cell r="F26">
            <v>1425</v>
          </cell>
          <cell r="G26" t="str">
            <v>PDL/HO/APL/1425.010717</v>
          </cell>
          <cell r="H26" t="str">
            <v>Mr.</v>
          </cell>
          <cell r="I26" t="str">
            <v>Male</v>
          </cell>
          <cell r="J26" t="str">
            <v>Md. Sahed Ahmed</v>
          </cell>
          <cell r="K26" t="str">
            <v>Senior Officer</v>
          </cell>
        </row>
        <row r="27">
          <cell r="C27">
            <v>40852019</v>
          </cell>
          <cell r="D27" t="str">
            <v>Pioneer Denim Limited</v>
          </cell>
          <cell r="E27" t="str">
            <v>Active</v>
          </cell>
          <cell r="F27">
            <v>1426</v>
          </cell>
          <cell r="G27" t="str">
            <v>PDL/HO/APL/1426.230313</v>
          </cell>
          <cell r="H27" t="str">
            <v>Mr.</v>
          </cell>
          <cell r="I27" t="str">
            <v>Male</v>
          </cell>
          <cell r="J27" t="str">
            <v>Sohel Mahmud</v>
          </cell>
          <cell r="K27" t="str">
            <v>Officer</v>
          </cell>
        </row>
        <row r="28">
          <cell r="C28">
            <v>40872019</v>
          </cell>
          <cell r="D28" t="str">
            <v>Pioneer Denim Limited</v>
          </cell>
          <cell r="E28" t="str">
            <v>Active</v>
          </cell>
          <cell r="F28">
            <v>1427</v>
          </cell>
          <cell r="G28" t="str">
            <v>PDL/HO/APL/1427.111119</v>
          </cell>
          <cell r="H28" t="str">
            <v>Mr.</v>
          </cell>
          <cell r="I28" t="str">
            <v>Male</v>
          </cell>
          <cell r="J28" t="str">
            <v>Md. Arfatul Islam Tanjil</v>
          </cell>
          <cell r="K28" t="str">
            <v>Junior Relationship Manager</v>
          </cell>
        </row>
        <row r="29">
          <cell r="C29">
            <v>40892019</v>
          </cell>
          <cell r="D29" t="str">
            <v>Pioneer Denim Limited</v>
          </cell>
          <cell r="E29" t="str">
            <v>Inactive</v>
          </cell>
          <cell r="F29">
            <v>1428</v>
          </cell>
          <cell r="G29" t="str">
            <v>PDL/HO/APL/1428.281119</v>
          </cell>
          <cell r="H29" t="str">
            <v>Mr.</v>
          </cell>
          <cell r="I29" t="str">
            <v>Male</v>
          </cell>
          <cell r="J29" t="str">
            <v>Md. Zakir Hossain</v>
          </cell>
          <cell r="K29" t="str">
            <v>Relationship Manager</v>
          </cell>
        </row>
        <row r="30">
          <cell r="C30">
            <v>40902019</v>
          </cell>
          <cell r="D30" t="str">
            <v>Pioneer Denim Limited</v>
          </cell>
          <cell r="E30" t="str">
            <v>Active</v>
          </cell>
          <cell r="F30">
            <v>1429</v>
          </cell>
          <cell r="G30" t="str">
            <v>PDL/HO/APL/1429.071219</v>
          </cell>
          <cell r="H30" t="str">
            <v>Mr.</v>
          </cell>
          <cell r="I30" t="str">
            <v>Male</v>
          </cell>
          <cell r="J30" t="str">
            <v>All Imran Khan</v>
          </cell>
          <cell r="K30" t="str">
            <v>Head of Planning</v>
          </cell>
        </row>
        <row r="31">
          <cell r="C31">
            <v>40912020</v>
          </cell>
          <cell r="D31" t="str">
            <v>Pioneer Denim Limited</v>
          </cell>
          <cell r="E31" t="str">
            <v>Active</v>
          </cell>
          <cell r="F31">
            <v>1430</v>
          </cell>
          <cell r="G31" t="str">
            <v>PDL/HO/APL/1430.230919</v>
          </cell>
          <cell r="H31" t="str">
            <v>Mr.</v>
          </cell>
          <cell r="I31" t="str">
            <v>Male</v>
          </cell>
          <cell r="J31" t="str">
            <v>Arifuzzaman Nur</v>
          </cell>
          <cell r="K31" t="str">
            <v>Trainee - Commercial</v>
          </cell>
        </row>
        <row r="32">
          <cell r="C32">
            <v>40922020</v>
          </cell>
          <cell r="D32" t="str">
            <v>Pioneer Denim Limited</v>
          </cell>
          <cell r="E32" t="str">
            <v>Active</v>
          </cell>
          <cell r="F32">
            <v>1431</v>
          </cell>
          <cell r="G32" t="str">
            <v>PDL/HO/APL/1431.011019</v>
          </cell>
          <cell r="H32" t="str">
            <v>Mr.</v>
          </cell>
          <cell r="I32" t="str">
            <v>Male</v>
          </cell>
          <cell r="J32" t="str">
            <v>Md. Syed Mizanul Huq</v>
          </cell>
          <cell r="K32" t="str">
            <v>Junior Relationship Manager</v>
          </cell>
        </row>
        <row r="33">
          <cell r="C33">
            <v>40932020</v>
          </cell>
          <cell r="D33" t="str">
            <v>Pioneer Denim Limited</v>
          </cell>
          <cell r="E33" t="str">
            <v>Active</v>
          </cell>
          <cell r="F33">
            <v>1432</v>
          </cell>
          <cell r="G33" t="str">
            <v>PDL/HO/APL/1432.061019</v>
          </cell>
          <cell r="H33" t="str">
            <v>Mr.</v>
          </cell>
          <cell r="I33" t="str">
            <v>Male</v>
          </cell>
          <cell r="J33" t="str">
            <v>Md. Mahedi Hasan</v>
          </cell>
          <cell r="K33" t="str">
            <v>Junior Relationship Manager</v>
          </cell>
        </row>
        <row r="34">
          <cell r="C34">
            <v>40942020</v>
          </cell>
          <cell r="D34" t="str">
            <v>Pioneer Denim Limited</v>
          </cell>
          <cell r="E34" t="str">
            <v>Active</v>
          </cell>
          <cell r="F34">
            <v>1433</v>
          </cell>
          <cell r="G34" t="str">
            <v>PDL/HO/APL/1433.200319</v>
          </cell>
          <cell r="H34" t="str">
            <v>Mr.</v>
          </cell>
          <cell r="I34" t="str">
            <v>Male</v>
          </cell>
          <cell r="J34" t="str">
            <v>Md. Tanveer Ahmed</v>
          </cell>
          <cell r="K34" t="str">
            <v>Trainee - Commercial</v>
          </cell>
        </row>
        <row r="35">
          <cell r="C35">
            <v>40952020</v>
          </cell>
          <cell r="D35" t="str">
            <v>Pioneer Denim Limited</v>
          </cell>
          <cell r="E35" t="str">
            <v>Active</v>
          </cell>
          <cell r="F35">
            <v>1434</v>
          </cell>
          <cell r="G35" t="str">
            <v>PDL/HO/APL/1434.011019</v>
          </cell>
          <cell r="H35" t="str">
            <v>Mr.</v>
          </cell>
          <cell r="I35" t="str">
            <v>Male</v>
          </cell>
          <cell r="J35" t="str">
            <v>Sheikh Mukarram Hussain</v>
          </cell>
          <cell r="K35" t="str">
            <v>Trainee - Commercial</v>
          </cell>
        </row>
        <row r="36">
          <cell r="C36">
            <v>40972020</v>
          </cell>
          <cell r="D36" t="str">
            <v>Pioneer Denim Limited</v>
          </cell>
          <cell r="E36" t="str">
            <v>Active</v>
          </cell>
          <cell r="F36">
            <v>1435</v>
          </cell>
          <cell r="G36" t="str">
            <v>PDL/HO/APL/1435.150220</v>
          </cell>
          <cell r="H36" t="str">
            <v>Mr.</v>
          </cell>
          <cell r="I36" t="str">
            <v>Male</v>
          </cell>
          <cell r="J36" t="str">
            <v>Bayazid Hossen Gulzar</v>
          </cell>
          <cell r="K36" t="str">
            <v>Messenger</v>
          </cell>
        </row>
        <row r="37">
          <cell r="C37">
            <v>40982020</v>
          </cell>
          <cell r="D37" t="str">
            <v>Pioneer Denim Limited</v>
          </cell>
          <cell r="E37" t="str">
            <v>Active</v>
          </cell>
          <cell r="F37">
            <v>1436</v>
          </cell>
          <cell r="G37" t="str">
            <v>PDL/HO/APL/1436.090220</v>
          </cell>
          <cell r="H37" t="str">
            <v>Mr.</v>
          </cell>
          <cell r="I37" t="str">
            <v>Male</v>
          </cell>
          <cell r="J37" t="str">
            <v>Md. Hafijur Rahman</v>
          </cell>
          <cell r="K37" t="str">
            <v>Trainee - Marketing</v>
          </cell>
        </row>
        <row r="38">
          <cell r="C38">
            <v>41012020</v>
          </cell>
          <cell r="D38" t="str">
            <v>Pioneer Denim Limited</v>
          </cell>
          <cell r="E38" t="str">
            <v>Active</v>
          </cell>
          <cell r="F38">
            <v>1437</v>
          </cell>
          <cell r="G38" t="str">
            <v>PDL/HO/APL/1437.240320</v>
          </cell>
          <cell r="H38" t="str">
            <v>Mr.</v>
          </cell>
          <cell r="I38" t="str">
            <v>Male</v>
          </cell>
          <cell r="J38" t="str">
            <v>Sumon Mollah</v>
          </cell>
          <cell r="K38" t="str">
            <v>Messenger</v>
          </cell>
        </row>
        <row r="39">
          <cell r="C39">
            <v>41022020</v>
          </cell>
          <cell r="D39" t="str">
            <v>Pioneer Denim Limited</v>
          </cell>
          <cell r="E39" t="str">
            <v>Active</v>
          </cell>
          <cell r="F39">
            <v>1438</v>
          </cell>
          <cell r="G39" t="str">
            <v>PDL/HO/APL/1438.060520</v>
          </cell>
          <cell r="H39" t="str">
            <v>Mr.</v>
          </cell>
          <cell r="I39" t="str">
            <v>Male</v>
          </cell>
          <cell r="J39" t="str">
            <v>Md. Asad Ullah</v>
          </cell>
          <cell r="K39" t="str">
            <v>Junior Relationship Manager</v>
          </cell>
        </row>
        <row r="40">
          <cell r="C40">
            <v>41032020</v>
          </cell>
          <cell r="D40" t="str">
            <v>Pioneer Denim Limited</v>
          </cell>
          <cell r="E40" t="str">
            <v>Active</v>
          </cell>
          <cell r="F40">
            <v>1439</v>
          </cell>
          <cell r="G40" t="str">
            <v>PDL/HO/APL/1439.160620</v>
          </cell>
          <cell r="H40" t="str">
            <v>Mr.</v>
          </cell>
          <cell r="I40" t="str">
            <v>Male</v>
          </cell>
          <cell r="J40" t="str">
            <v>Md. Hemaet Ullah</v>
          </cell>
          <cell r="K40" t="str">
            <v>Junior Officer - Finance &amp; Accounts</v>
          </cell>
        </row>
        <row r="41">
          <cell r="C41">
            <v>41052020</v>
          </cell>
          <cell r="D41" t="str">
            <v>Pioneer Denim Limited</v>
          </cell>
          <cell r="E41" t="str">
            <v>Active</v>
          </cell>
          <cell r="F41">
            <v>1440</v>
          </cell>
          <cell r="G41" t="str">
            <v>PDL/HO/APL/1440.060720</v>
          </cell>
          <cell r="H41" t="str">
            <v>Mr.</v>
          </cell>
          <cell r="I41" t="str">
            <v>Male</v>
          </cell>
          <cell r="J41" t="str">
            <v>Muhammad Zakir Hossain</v>
          </cell>
          <cell r="K41" t="str">
            <v>DGM - Marketing</v>
          </cell>
        </row>
        <row r="42">
          <cell r="C42">
            <v>41062020</v>
          </cell>
          <cell r="D42" t="str">
            <v>Pioneer Denim Limited</v>
          </cell>
          <cell r="E42" t="str">
            <v>Active</v>
          </cell>
          <cell r="F42">
            <v>1441</v>
          </cell>
          <cell r="G42" t="str">
            <v>PDL/HO/APL/1441.160720</v>
          </cell>
          <cell r="H42" t="str">
            <v>Mr.</v>
          </cell>
          <cell r="I42" t="str">
            <v>Male</v>
          </cell>
          <cell r="J42" t="str">
            <v>Md. Sharif Sarker</v>
          </cell>
          <cell r="K42" t="str">
            <v>Assistant Manager - Costing</v>
          </cell>
        </row>
        <row r="43">
          <cell r="C43">
            <v>41072020</v>
          </cell>
          <cell r="D43" t="str">
            <v>Pioneer Denim Limited</v>
          </cell>
          <cell r="E43" t="str">
            <v>Active</v>
          </cell>
          <cell r="F43">
            <v>1442</v>
          </cell>
          <cell r="G43" t="str">
            <v>PDL/HO/APL/1442.160820</v>
          </cell>
          <cell r="H43" t="str">
            <v>Mr.</v>
          </cell>
          <cell r="I43" t="str">
            <v>Male</v>
          </cell>
          <cell r="J43" t="str">
            <v>Mohammad Tofajjal Hossain</v>
          </cell>
          <cell r="K43" t="str">
            <v>Officer - Import</v>
          </cell>
        </row>
        <row r="44">
          <cell r="C44">
            <v>41102020</v>
          </cell>
          <cell r="D44" t="str">
            <v>Pioneer Denim Limited</v>
          </cell>
          <cell r="E44" t="str">
            <v>Active</v>
          </cell>
          <cell r="F44">
            <v>1443</v>
          </cell>
          <cell r="G44" t="str">
            <v>PDL/HO/APL/1443.200820</v>
          </cell>
          <cell r="H44" t="str">
            <v>Mr.</v>
          </cell>
          <cell r="I44" t="str">
            <v>Male</v>
          </cell>
          <cell r="J44" t="str">
            <v>Md. Johan Islam</v>
          </cell>
          <cell r="K44" t="str">
            <v>Assistant Relationship Manager</v>
          </cell>
        </row>
        <row r="45">
          <cell r="C45">
            <v>41112020</v>
          </cell>
          <cell r="D45" t="str">
            <v>Pioneer Denim Limited</v>
          </cell>
          <cell r="E45" t="str">
            <v>Active</v>
          </cell>
          <cell r="F45">
            <v>1444</v>
          </cell>
          <cell r="G45" t="str">
            <v>PDL/HO/APL/1444.260820</v>
          </cell>
          <cell r="H45" t="str">
            <v>Mr.</v>
          </cell>
          <cell r="I45" t="str">
            <v>Male</v>
          </cell>
          <cell r="J45" t="str">
            <v>Md. Delwer Hossain</v>
          </cell>
          <cell r="K45" t="str">
            <v>Assistant Manager - Commercial</v>
          </cell>
        </row>
        <row r="46">
          <cell r="C46">
            <v>41122020</v>
          </cell>
          <cell r="D46" t="str">
            <v>Pioneer Denim Limited</v>
          </cell>
          <cell r="E46" t="str">
            <v>Active</v>
          </cell>
          <cell r="F46">
            <v>1445</v>
          </cell>
          <cell r="G46" t="str">
            <v>PDL/HO/APL/1445.011020</v>
          </cell>
          <cell r="H46" t="str">
            <v>Mr.</v>
          </cell>
          <cell r="I46" t="str">
            <v>Male</v>
          </cell>
          <cell r="J46" t="str">
            <v>Mahbubur Rahman Chowdhury</v>
          </cell>
          <cell r="K46" t="str">
            <v>Executive - Audit</v>
          </cell>
        </row>
        <row r="47">
          <cell r="C47">
            <v>41132020</v>
          </cell>
          <cell r="D47" t="str">
            <v>Pioneer Denim Limited</v>
          </cell>
          <cell r="E47" t="str">
            <v>Active</v>
          </cell>
          <cell r="F47">
            <v>1446</v>
          </cell>
          <cell r="G47" t="str">
            <v>PDL/HO/APL/1446.011020</v>
          </cell>
          <cell r="H47" t="str">
            <v>Mr.</v>
          </cell>
          <cell r="I47" t="str">
            <v>Male</v>
          </cell>
          <cell r="J47" t="str">
            <v>Md. Ariful Islam</v>
          </cell>
          <cell r="K47" t="str">
            <v>Executive - Audit</v>
          </cell>
        </row>
        <row r="48">
          <cell r="C48">
            <v>41142020</v>
          </cell>
          <cell r="D48" t="str">
            <v>Pioneer Denim Limited</v>
          </cell>
          <cell r="E48" t="str">
            <v>Active</v>
          </cell>
          <cell r="F48">
            <v>1447</v>
          </cell>
          <cell r="G48" t="str">
            <v>PDL/HO/APL/1447.201020</v>
          </cell>
          <cell r="H48" t="str">
            <v>Mr.</v>
          </cell>
          <cell r="I48" t="str">
            <v>Male</v>
          </cell>
          <cell r="J48" t="str">
            <v>Md. Ashraful Alam</v>
          </cell>
          <cell r="K48" t="str">
            <v>Software Engineer</v>
          </cell>
        </row>
        <row r="49">
          <cell r="C49">
            <v>41152020</v>
          </cell>
          <cell r="D49" t="str">
            <v>Pioneer Denim Limited</v>
          </cell>
          <cell r="E49" t="str">
            <v>Active</v>
          </cell>
          <cell r="F49">
            <v>1448</v>
          </cell>
          <cell r="G49" t="str">
            <v>PDL/HO/APL/1448.011120</v>
          </cell>
          <cell r="H49" t="str">
            <v>Mr.</v>
          </cell>
          <cell r="I49" t="str">
            <v>Male</v>
          </cell>
          <cell r="J49" t="str">
            <v>Md. Hasan Uzzaman</v>
          </cell>
          <cell r="K49" t="str">
            <v>Software Engineer</v>
          </cell>
        </row>
        <row r="50">
          <cell r="C50">
            <v>41162020</v>
          </cell>
          <cell r="D50" t="str">
            <v>Pioneer Denim Limited</v>
          </cell>
          <cell r="E50" t="str">
            <v>Active</v>
          </cell>
          <cell r="F50">
            <v>1449</v>
          </cell>
          <cell r="G50" t="str">
            <v>PDL/HO/APL/1449.011120</v>
          </cell>
          <cell r="H50" t="str">
            <v>Mr.</v>
          </cell>
          <cell r="I50" t="str">
            <v>Male</v>
          </cell>
          <cell r="J50" t="str">
            <v>Omar Khaium</v>
          </cell>
          <cell r="K50" t="str">
            <v>Manager - Audit</v>
          </cell>
        </row>
        <row r="51">
          <cell r="C51">
            <v>41172020</v>
          </cell>
          <cell r="D51" t="str">
            <v>Pioneer Denim Limited</v>
          </cell>
          <cell r="E51" t="str">
            <v>Active</v>
          </cell>
          <cell r="F51">
            <v>1450</v>
          </cell>
          <cell r="G51" t="str">
            <v>PDL/HO/APL/1450.151220</v>
          </cell>
          <cell r="H51" t="str">
            <v>Mr.</v>
          </cell>
          <cell r="I51" t="str">
            <v>Male</v>
          </cell>
          <cell r="J51" t="str">
            <v>Asif Wares Khan</v>
          </cell>
          <cell r="K51" t="str">
            <v>Relationship Manager</v>
          </cell>
        </row>
        <row r="52">
          <cell r="C52">
            <v>41192020</v>
          </cell>
          <cell r="D52" t="str">
            <v>Pioneer Denim Limited</v>
          </cell>
          <cell r="E52" t="str">
            <v>Active</v>
          </cell>
          <cell r="F52">
            <v>1451</v>
          </cell>
          <cell r="G52" t="str">
            <v>PDL/HO/APL/1451.311220</v>
          </cell>
          <cell r="H52" t="str">
            <v>Mr.</v>
          </cell>
          <cell r="I52" t="str">
            <v>Male</v>
          </cell>
          <cell r="J52" t="str">
            <v>Md. Kamal Hossain</v>
          </cell>
          <cell r="K52" t="str">
            <v>Assistant Relationship Manager</v>
          </cell>
        </row>
        <row r="53">
          <cell r="C53">
            <v>41202021</v>
          </cell>
          <cell r="D53" t="str">
            <v>Pioneer Denim Limited</v>
          </cell>
          <cell r="E53" t="str">
            <v>Active</v>
          </cell>
          <cell r="F53">
            <v>1452</v>
          </cell>
          <cell r="G53" t="str">
            <v>PDL/HO/APL/1452.020121</v>
          </cell>
          <cell r="H53" t="str">
            <v>Mr.</v>
          </cell>
          <cell r="I53" t="str">
            <v>Male</v>
          </cell>
          <cell r="J53" t="str">
            <v>Nasir Uddin Khan Shaon</v>
          </cell>
          <cell r="K53" t="str">
            <v>Junior Executive - IT</v>
          </cell>
        </row>
        <row r="54">
          <cell r="C54">
            <v>41212021</v>
          </cell>
          <cell r="D54" t="str">
            <v>Pioneer Denim Limited</v>
          </cell>
          <cell r="E54" t="str">
            <v>Active</v>
          </cell>
          <cell r="F54">
            <v>1453</v>
          </cell>
          <cell r="G54" t="str">
            <v>PDL/HO/APL/1453.160121</v>
          </cell>
          <cell r="H54" t="str">
            <v>Mr.</v>
          </cell>
          <cell r="I54" t="str">
            <v>Male</v>
          </cell>
          <cell r="J54" t="str">
            <v>Kamrul Hasan</v>
          </cell>
          <cell r="K54" t="str">
            <v>Executive - Commercial</v>
          </cell>
        </row>
        <row r="55">
          <cell r="C55">
            <v>41222021</v>
          </cell>
          <cell r="D55" t="str">
            <v>Pioneer Denim Limited</v>
          </cell>
          <cell r="E55" t="str">
            <v>Active</v>
          </cell>
          <cell r="F55">
            <v>1454</v>
          </cell>
          <cell r="G55" t="str">
            <v>PDL/HO/APL/1454.090221</v>
          </cell>
          <cell r="H55" t="str">
            <v>Mr.</v>
          </cell>
          <cell r="I55" t="str">
            <v>Male</v>
          </cell>
          <cell r="J55" t="str">
            <v>Al-Nafis Nejhum Hossain</v>
          </cell>
          <cell r="K55" t="str">
            <v>Trainee - Commercial</v>
          </cell>
        </row>
        <row r="56">
          <cell r="C56">
            <v>41232021</v>
          </cell>
          <cell r="D56" t="str">
            <v>Pioneer Denim Limited</v>
          </cell>
          <cell r="E56" t="str">
            <v>Inactive</v>
          </cell>
          <cell r="F56">
            <v>1455</v>
          </cell>
          <cell r="G56" t="str">
            <v>PDL/HO/APL/1455.010421</v>
          </cell>
          <cell r="H56" t="str">
            <v>Mr.</v>
          </cell>
          <cell r="I56" t="str">
            <v>Male</v>
          </cell>
          <cell r="J56" t="str">
            <v>Sudeep Chakraborty</v>
          </cell>
          <cell r="K56" t="str">
            <v>Junior Relationship Manager</v>
          </cell>
        </row>
        <row r="57">
          <cell r="C57">
            <v>41242021</v>
          </cell>
          <cell r="D57" t="str">
            <v>Pioneer Denim Limited</v>
          </cell>
          <cell r="E57" t="str">
            <v>Active</v>
          </cell>
          <cell r="F57">
            <v>1456</v>
          </cell>
          <cell r="G57" t="str">
            <v>PDL/HO/APL/1456.180521</v>
          </cell>
          <cell r="H57" t="str">
            <v>Mr.</v>
          </cell>
          <cell r="I57" t="str">
            <v>Male</v>
          </cell>
          <cell r="J57" t="str">
            <v>Navid Md. Rezaur Rahman</v>
          </cell>
          <cell r="K57" t="str">
            <v>Senior Manager - Admin &amp; HR</v>
          </cell>
        </row>
        <row r="58">
          <cell r="C58">
            <v>41252021</v>
          </cell>
          <cell r="D58" t="str">
            <v>Pioneer Denim Limited</v>
          </cell>
          <cell r="E58" t="str">
            <v>Active</v>
          </cell>
          <cell r="F58">
            <v>1457</v>
          </cell>
          <cell r="G58" t="str">
            <v>PDL/HO/APL/1457.180521</v>
          </cell>
          <cell r="H58" t="str">
            <v>Mr.</v>
          </cell>
          <cell r="I58" t="str">
            <v>Male</v>
          </cell>
          <cell r="J58" t="str">
            <v>S M Towfique Imam</v>
          </cell>
          <cell r="K58" t="str">
            <v>Assistant Manager - Admin &amp; HR</v>
          </cell>
        </row>
        <row r="59">
          <cell r="C59">
            <v>41262021</v>
          </cell>
          <cell r="D59" t="str">
            <v>Pioneer Denim Limited</v>
          </cell>
          <cell r="E59" t="str">
            <v>Active</v>
          </cell>
          <cell r="F59">
            <v>1458</v>
          </cell>
          <cell r="G59" t="str">
            <v>PDL/HO/APL/1458.180521</v>
          </cell>
          <cell r="H59" t="str">
            <v>Mr.</v>
          </cell>
          <cell r="I59" t="str">
            <v>Male</v>
          </cell>
          <cell r="J59" t="str">
            <v>Md. Chunchal Mahamud</v>
          </cell>
          <cell r="K59" t="str">
            <v>Manager - Admin &amp; HR</v>
          </cell>
        </row>
        <row r="60">
          <cell r="C60">
            <v>41272021</v>
          </cell>
          <cell r="D60" t="str">
            <v>Pioneer Denim Limited</v>
          </cell>
          <cell r="E60" t="str">
            <v>Active</v>
          </cell>
          <cell r="F60">
            <v>1459</v>
          </cell>
          <cell r="G60" t="str">
            <v>PDL/HO/APL/1459.030621</v>
          </cell>
          <cell r="H60" t="str">
            <v>Mr.</v>
          </cell>
          <cell r="I60" t="str">
            <v>Male</v>
          </cell>
          <cell r="J60" t="str">
            <v>Nur-E-Alam Howlader</v>
          </cell>
          <cell r="K60" t="str">
            <v>Trainee - Commercial</v>
          </cell>
        </row>
        <row r="61">
          <cell r="C61">
            <v>41282021</v>
          </cell>
          <cell r="D61" t="str">
            <v>Pioneer Denim Limited</v>
          </cell>
          <cell r="E61" t="str">
            <v>Active</v>
          </cell>
          <cell r="F61">
            <v>1460</v>
          </cell>
          <cell r="G61" t="str">
            <v>PDL/HO/APL/1460.150621</v>
          </cell>
          <cell r="H61" t="str">
            <v>Mr.</v>
          </cell>
          <cell r="I61" t="str">
            <v>Male</v>
          </cell>
          <cell r="J61" t="str">
            <v>Aziz Ahamed</v>
          </cell>
          <cell r="K61" t="str">
            <v>Head of Audit</v>
          </cell>
        </row>
        <row r="62">
          <cell r="C62">
            <v>41292021</v>
          </cell>
          <cell r="D62" t="str">
            <v>Pioneer Denim Limited</v>
          </cell>
          <cell r="E62" t="str">
            <v>Active</v>
          </cell>
          <cell r="F62">
            <v>1461</v>
          </cell>
          <cell r="G62" t="str">
            <v>PDL/HO/APL/1461.300621</v>
          </cell>
          <cell r="H62" t="str">
            <v>Mr.</v>
          </cell>
          <cell r="I62" t="str">
            <v>Male</v>
          </cell>
          <cell r="J62" t="str">
            <v>Md. Hafizur Rahman</v>
          </cell>
          <cell r="K62" t="str">
            <v>Senior Executive - Procurement</v>
          </cell>
        </row>
        <row r="63">
          <cell r="C63">
            <v>41302021</v>
          </cell>
          <cell r="D63" t="str">
            <v>Pioneer Denim Limited</v>
          </cell>
          <cell r="E63" t="str">
            <v>Active</v>
          </cell>
          <cell r="F63">
            <v>1462</v>
          </cell>
          <cell r="G63" t="str">
            <v>PDL/HO/APL/1462.010821</v>
          </cell>
          <cell r="H63" t="str">
            <v>Mr.</v>
          </cell>
          <cell r="I63" t="str">
            <v>Male</v>
          </cell>
          <cell r="J63" t="str">
            <v>Mir Saiham Hossain</v>
          </cell>
          <cell r="K63" t="str">
            <v>Senior Executive - Import</v>
          </cell>
        </row>
        <row r="64">
          <cell r="C64">
            <v>41312021</v>
          </cell>
          <cell r="D64" t="str">
            <v>Pioneer Denim Limited</v>
          </cell>
          <cell r="E64" t="str">
            <v>Active</v>
          </cell>
          <cell r="F64">
            <v>1463</v>
          </cell>
          <cell r="G64" t="str">
            <v>PDL/HO/APL/1463.040821</v>
          </cell>
          <cell r="H64" t="str">
            <v>Mr.</v>
          </cell>
          <cell r="I64" t="str">
            <v>Male</v>
          </cell>
          <cell r="J64" t="str">
            <v>Md. Momen Al Reza</v>
          </cell>
          <cell r="K64" t="str">
            <v>Junior Relationship Manager</v>
          </cell>
        </row>
        <row r="65">
          <cell r="C65">
            <v>41322021</v>
          </cell>
          <cell r="D65" t="str">
            <v>Pioneer Denim Limited</v>
          </cell>
          <cell r="E65" t="str">
            <v>Inactive</v>
          </cell>
          <cell r="F65">
            <v>1464</v>
          </cell>
          <cell r="G65" t="str">
            <v>PDL/HO/APL/1464.010821</v>
          </cell>
          <cell r="H65" t="str">
            <v>Mr.</v>
          </cell>
          <cell r="I65" t="str">
            <v>Male</v>
          </cell>
          <cell r="J65" t="str">
            <v>Md. Ariful Islam Sumon</v>
          </cell>
          <cell r="K65" t="str">
            <v>Trainee - Marketing</v>
          </cell>
        </row>
        <row r="66">
          <cell r="C66">
            <v>41332021</v>
          </cell>
          <cell r="D66" t="str">
            <v>Pioneer Denim Limited</v>
          </cell>
          <cell r="E66" t="str">
            <v>Active</v>
          </cell>
          <cell r="F66">
            <v>1465</v>
          </cell>
          <cell r="G66" t="str">
            <v>PDL/HO/APL/1465.110821</v>
          </cell>
          <cell r="H66" t="str">
            <v>Mr.</v>
          </cell>
          <cell r="I66" t="str">
            <v>Male</v>
          </cell>
          <cell r="J66" t="str">
            <v>Md Abir Hossen</v>
          </cell>
          <cell r="K66" t="str">
            <v>Trainee - Commercial</v>
          </cell>
        </row>
        <row r="67">
          <cell r="C67">
            <v>41342021</v>
          </cell>
          <cell r="D67" t="str">
            <v>Pioneer Denim Limited</v>
          </cell>
          <cell r="E67" t="str">
            <v>Active</v>
          </cell>
          <cell r="F67">
            <v>1466</v>
          </cell>
          <cell r="G67" t="str">
            <v>PDL/HO/APL/1466.010921</v>
          </cell>
          <cell r="H67" t="str">
            <v>Mr.</v>
          </cell>
          <cell r="I67" t="str">
            <v>Male</v>
          </cell>
          <cell r="J67" t="str">
            <v>Ashnif Hossain Arnob</v>
          </cell>
          <cell r="K67" t="str">
            <v>Software Engineer</v>
          </cell>
        </row>
        <row r="68">
          <cell r="C68">
            <v>41352021</v>
          </cell>
          <cell r="D68" t="str">
            <v>Pioneer Denim Limited</v>
          </cell>
          <cell r="E68" t="str">
            <v>Active</v>
          </cell>
          <cell r="F68">
            <v>1467</v>
          </cell>
          <cell r="G68" t="str">
            <v>PDL/HO/APL/1467.150921</v>
          </cell>
          <cell r="H68" t="str">
            <v>Mr.</v>
          </cell>
          <cell r="I68" t="str">
            <v>Male</v>
          </cell>
          <cell r="J68" t="str">
            <v>Md. Nasif Bin Hossain</v>
          </cell>
          <cell r="K68" t="str">
            <v>Management Trainee</v>
          </cell>
        </row>
        <row r="69">
          <cell r="C69">
            <v>41372021</v>
          </cell>
          <cell r="D69" t="str">
            <v>Pioneer Denim Limited</v>
          </cell>
          <cell r="E69" t="str">
            <v>Active</v>
          </cell>
          <cell r="F69">
            <v>1468</v>
          </cell>
          <cell r="G69" t="str">
            <v>PDL/HO/APL/1468.011121</v>
          </cell>
          <cell r="H69" t="str">
            <v>Mr.</v>
          </cell>
          <cell r="I69" t="str">
            <v>Male</v>
          </cell>
          <cell r="J69" t="str">
            <v>Md. Sazid Bin Suruj Palash</v>
          </cell>
          <cell r="K69" t="str">
            <v>Trainee Officer - Marketing</v>
          </cell>
        </row>
        <row r="70">
          <cell r="C70">
            <v>41382021</v>
          </cell>
          <cell r="D70" t="str">
            <v>Pioneer Denim Limited</v>
          </cell>
          <cell r="E70" t="str">
            <v>Active</v>
          </cell>
          <cell r="F70">
            <v>1469</v>
          </cell>
          <cell r="G70" t="str">
            <v>PDL/HO/APL/1469.011121</v>
          </cell>
          <cell r="H70" t="str">
            <v>Mr.</v>
          </cell>
          <cell r="I70" t="str">
            <v>Male</v>
          </cell>
          <cell r="J70" t="str">
            <v>Md. Rifat Hossain Roni</v>
          </cell>
          <cell r="K70" t="str">
            <v>Trainee Officer - Marketing</v>
          </cell>
        </row>
        <row r="71">
          <cell r="D71" t="str">
            <v>Pioneer Denim Limited</v>
          </cell>
          <cell r="G71" t="str">
            <v>PDL/HO/APL/.000100</v>
          </cell>
        </row>
        <row r="72">
          <cell r="D72" t="str">
            <v>Pioneer Denim Limited</v>
          </cell>
          <cell r="G72" t="str">
            <v>PDL/HO/APL/.000100</v>
          </cell>
        </row>
        <row r="73">
          <cell r="D73" t="str">
            <v>Pioneer Denim Limited</v>
          </cell>
          <cell r="G73" t="str">
            <v>PDL/HO/APL/.000100</v>
          </cell>
        </row>
        <row r="74">
          <cell r="D74" t="str">
            <v>Pioneer Denim Limited</v>
          </cell>
          <cell r="G74" t="str">
            <v>PDL/HO/APL/.000100</v>
          </cell>
        </row>
        <row r="75">
          <cell r="D75" t="str">
            <v>Pioneer Denim Limited</v>
          </cell>
          <cell r="G75" t="str">
            <v>PDL/HO/APL/.000100</v>
          </cell>
        </row>
        <row r="76">
          <cell r="D76" t="str">
            <v>Pioneer Denim Limited</v>
          </cell>
          <cell r="G76" t="str">
            <v>PDL/HO/APL/.000100</v>
          </cell>
        </row>
        <row r="77">
          <cell r="D77" t="str">
            <v>Pioneer Denim Limited</v>
          </cell>
        </row>
        <row r="78">
          <cell r="D78" t="str">
            <v>Pioneer Denim Limited</v>
          </cell>
        </row>
        <row r="79">
          <cell r="D79" t="str">
            <v>Pioneer Denim Limited</v>
          </cell>
        </row>
        <row r="80">
          <cell r="D80" t="str">
            <v>Pioneer Denim Limited</v>
          </cell>
        </row>
        <row r="81">
          <cell r="D81" t="str">
            <v>Pioneer Denim Limited</v>
          </cell>
        </row>
        <row r="82">
          <cell r="D82" t="str">
            <v>Pioneer Denim Limited</v>
          </cell>
        </row>
        <row r="83">
          <cell r="D83" t="str">
            <v>Pioneer Denim Limited</v>
          </cell>
        </row>
        <row r="84">
          <cell r="D84" t="str">
            <v>Pioneer Denim Limited</v>
          </cell>
        </row>
        <row r="85">
          <cell r="D85" t="str">
            <v>Pioneer Denim Limited</v>
          </cell>
        </row>
        <row r="86">
          <cell r="D86" t="str">
            <v>Pioneer Denim Limited</v>
          </cell>
        </row>
        <row r="87">
          <cell r="D87" t="str">
            <v>Pioneer Denim Limited</v>
          </cell>
        </row>
        <row r="88">
          <cell r="D88" t="str">
            <v>Pioneer Denim Limited</v>
          </cell>
        </row>
        <row r="89">
          <cell r="D89" t="str">
            <v>Pioneer Denim Limited</v>
          </cell>
        </row>
        <row r="90">
          <cell r="D90" t="str">
            <v>Pioneer Denim Limited</v>
          </cell>
          <cell r="F90">
            <v>52</v>
          </cell>
          <cell r="G90" t="str">
            <v>PDL/HO/APL/52.000100</v>
          </cell>
          <cell r="H90" t="str">
            <v/>
          </cell>
        </row>
        <row r="91">
          <cell r="C91">
            <v>10092005</v>
          </cell>
          <cell r="D91" t="str">
            <v>Pioneer Denim Limited</v>
          </cell>
          <cell r="E91" t="str">
            <v>Active</v>
          </cell>
          <cell r="F91">
            <v>53</v>
          </cell>
          <cell r="G91" t="str">
            <v>PDL/HO/APL/53.020705</v>
          </cell>
          <cell r="H91" t="str">
            <v>Mr.</v>
          </cell>
          <cell r="I91" t="str">
            <v>Male</v>
          </cell>
          <cell r="J91" t="str">
            <v xml:space="preserve">Md. Saifur Rahaman </v>
          </cell>
          <cell r="K91" t="str">
            <v>Senior Executive - Commercial</v>
          </cell>
        </row>
        <row r="92">
          <cell r="C92">
            <v>10102012</v>
          </cell>
          <cell r="D92" t="str">
            <v>Pioneer Denim Limited</v>
          </cell>
          <cell r="E92" t="str">
            <v>Active</v>
          </cell>
          <cell r="G92" t="str">
            <v>PDL/HO/APL/.160820</v>
          </cell>
          <cell r="H92" t="str">
            <v>Mr.</v>
          </cell>
          <cell r="I92" t="str">
            <v>Male</v>
          </cell>
          <cell r="J92" t="str">
            <v>Md. Tyoubur Rahman</v>
          </cell>
          <cell r="K92" t="str">
            <v>Head of IT</v>
          </cell>
        </row>
        <row r="93">
          <cell r="C93">
            <v>10352009</v>
          </cell>
          <cell r="D93" t="str">
            <v>Pioneer Denim Limited</v>
          </cell>
          <cell r="E93" t="str">
            <v>Active</v>
          </cell>
          <cell r="F93">
            <v>55</v>
          </cell>
          <cell r="G93" t="str">
            <v>PDL/HO/APL/55.010309</v>
          </cell>
          <cell r="H93" t="str">
            <v>Mr.</v>
          </cell>
          <cell r="I93" t="str">
            <v>Male</v>
          </cell>
          <cell r="J93" t="str">
            <v>Muhammad Ashraful Alam</v>
          </cell>
          <cell r="K93" t="str">
            <v>Head of Procurement</v>
          </cell>
        </row>
        <row r="94">
          <cell r="C94">
            <v>10582015</v>
          </cell>
          <cell r="D94" t="str">
            <v>Pioneer Denim Limited</v>
          </cell>
          <cell r="E94" t="str">
            <v>Active</v>
          </cell>
          <cell r="F94">
            <v>56</v>
          </cell>
          <cell r="G94" t="str">
            <v>PDL/HO/APL/56.010615</v>
          </cell>
          <cell r="H94" t="str">
            <v>Mr.</v>
          </cell>
          <cell r="I94" t="str">
            <v>Male</v>
          </cell>
          <cell r="J94" t="str">
            <v>Jashim Uddin</v>
          </cell>
          <cell r="K94" t="str">
            <v>Messenger</v>
          </cell>
        </row>
        <row r="95">
          <cell r="C95">
            <v>10702016</v>
          </cell>
          <cell r="D95" t="str">
            <v>Pioneer Denim Limited</v>
          </cell>
          <cell r="E95" t="str">
            <v>Active</v>
          </cell>
          <cell r="F95">
            <v>57</v>
          </cell>
          <cell r="G95" t="str">
            <v>PDL/HO/APL/57.080816</v>
          </cell>
          <cell r="H95" t="str">
            <v>Mr.</v>
          </cell>
          <cell r="I95" t="str">
            <v>Male</v>
          </cell>
          <cell r="J95" t="str">
            <v xml:space="preserve">Abdur Rahman </v>
          </cell>
          <cell r="K95" t="str">
            <v xml:space="preserve">Executive - Import </v>
          </cell>
        </row>
        <row r="96">
          <cell r="C96">
            <v>10952017</v>
          </cell>
          <cell r="D96" t="str">
            <v>Pioneer Denim Limited</v>
          </cell>
          <cell r="E96" t="str">
            <v>Active</v>
          </cell>
          <cell r="F96">
            <v>58</v>
          </cell>
          <cell r="G96" t="str">
            <v>PDL/HO/APL/58.170717</v>
          </cell>
          <cell r="H96" t="str">
            <v>Mr.</v>
          </cell>
          <cell r="I96" t="str">
            <v>Male</v>
          </cell>
          <cell r="J96" t="str">
            <v>Mohammad Mehedi Hasan</v>
          </cell>
          <cell r="K96" t="str">
            <v>Executive - Procurement</v>
          </cell>
        </row>
        <row r="97">
          <cell r="C97">
            <v>10252008</v>
          </cell>
          <cell r="D97" t="str">
            <v>Pioneer Denim Limited</v>
          </cell>
          <cell r="E97" t="str">
            <v>Active</v>
          </cell>
          <cell r="F97">
            <v>71</v>
          </cell>
          <cell r="G97" t="str">
            <v>PDL/HO/APL/71.080208</v>
          </cell>
          <cell r="H97" t="str">
            <v>Mr.</v>
          </cell>
          <cell r="I97" t="str">
            <v>Male</v>
          </cell>
          <cell r="J97" t="str">
            <v>Azmul Karim</v>
          </cell>
          <cell r="K97" t="str">
            <v xml:space="preserve">Assistant Manager - Import </v>
          </cell>
        </row>
        <row r="98">
          <cell r="C98">
            <v>20102008</v>
          </cell>
          <cell r="D98" t="str">
            <v>Pioneer Denim Limited</v>
          </cell>
          <cell r="E98" t="str">
            <v>Active</v>
          </cell>
          <cell r="F98">
            <v>59</v>
          </cell>
          <cell r="G98" t="str">
            <v>PDL/HO/APL/59.250308</v>
          </cell>
          <cell r="H98" t="str">
            <v>Mr.</v>
          </cell>
          <cell r="I98" t="str">
            <v>Male</v>
          </cell>
          <cell r="J98" t="str">
            <v>Prabir Das</v>
          </cell>
          <cell r="K98" t="str">
            <v>Manager - Commercial</v>
          </cell>
        </row>
        <row r="99">
          <cell r="C99">
            <v>20152010</v>
          </cell>
          <cell r="D99" t="str">
            <v>Pioneer Denim Limited</v>
          </cell>
          <cell r="E99" t="str">
            <v>Active</v>
          </cell>
          <cell r="F99">
            <v>60</v>
          </cell>
          <cell r="G99" t="str">
            <v>PDL/HO/APL/60.010510</v>
          </cell>
          <cell r="H99" t="str">
            <v>Mr.</v>
          </cell>
          <cell r="I99" t="str">
            <v>Male</v>
          </cell>
          <cell r="J99" t="str">
            <v>Md. Arif Hossain</v>
          </cell>
          <cell r="K99" t="str">
            <v>Executive - Commercial</v>
          </cell>
        </row>
        <row r="100">
          <cell r="C100">
            <v>20332017</v>
          </cell>
          <cell r="D100" t="str">
            <v>Pioneer Denim Limited</v>
          </cell>
          <cell r="E100" t="str">
            <v>Active</v>
          </cell>
          <cell r="G100" t="str">
            <v>PDL/HO/APL/.010417</v>
          </cell>
          <cell r="H100" t="str">
            <v>Mr.</v>
          </cell>
          <cell r="I100" t="str">
            <v>Male</v>
          </cell>
          <cell r="J100" t="str">
            <v>Moniruzzaman</v>
          </cell>
          <cell r="K100" t="str">
            <v>Assistant Manager - Finance &amp; Accounts</v>
          </cell>
        </row>
        <row r="101">
          <cell r="C101">
            <v>20692016</v>
          </cell>
          <cell r="D101" t="str">
            <v>Pioneer Denim Limited</v>
          </cell>
          <cell r="E101" t="str">
            <v>Active</v>
          </cell>
          <cell r="F101">
            <v>61</v>
          </cell>
          <cell r="G101" t="str">
            <v>PDL/HO/APL/61.010216</v>
          </cell>
          <cell r="H101" t="str">
            <v>Mr.</v>
          </cell>
          <cell r="I101" t="str">
            <v>Male</v>
          </cell>
          <cell r="J101" t="str">
            <v>S.M. Mahdi Hasan</v>
          </cell>
          <cell r="K101" t="str">
            <v>Senior Executive - Procurement</v>
          </cell>
        </row>
        <row r="102">
          <cell r="C102">
            <v>20792016</v>
          </cell>
          <cell r="D102" t="str">
            <v>Pioneer Denim Limited</v>
          </cell>
          <cell r="E102" t="str">
            <v>Active</v>
          </cell>
          <cell r="F102">
            <v>62</v>
          </cell>
          <cell r="G102" t="str">
            <v>PDL/HO/APL/62.300716</v>
          </cell>
          <cell r="H102" t="str">
            <v>Mr.</v>
          </cell>
          <cell r="I102" t="str">
            <v>Male</v>
          </cell>
          <cell r="J102" t="str">
            <v>Md. Saiful Islam</v>
          </cell>
          <cell r="K102" t="str">
            <v>Messenger</v>
          </cell>
        </row>
        <row r="103">
          <cell r="C103">
            <v>20812016</v>
          </cell>
          <cell r="D103" t="str">
            <v>Pioneer Denim Limited</v>
          </cell>
          <cell r="E103" t="str">
            <v>Active</v>
          </cell>
          <cell r="F103">
            <v>63</v>
          </cell>
          <cell r="G103" t="str">
            <v>PDL/HO/APL/63.190816</v>
          </cell>
          <cell r="H103" t="str">
            <v>Mr.</v>
          </cell>
          <cell r="I103" t="str">
            <v>Male</v>
          </cell>
          <cell r="J103" t="str">
            <v>Md. Yeakub Ali</v>
          </cell>
          <cell r="K103" t="str">
            <v>Senior Executive - Audit</v>
          </cell>
        </row>
        <row r="104">
          <cell r="C104">
            <v>20972016</v>
          </cell>
          <cell r="D104" t="str">
            <v>Pioneer Denim Limited</v>
          </cell>
          <cell r="E104" t="str">
            <v>Active</v>
          </cell>
          <cell r="G104" t="str">
            <v>PDL/HO/APL/.110121</v>
          </cell>
          <cell r="H104" t="str">
            <v>Mr.</v>
          </cell>
          <cell r="I104" t="str">
            <v>Male</v>
          </cell>
          <cell r="J104" t="str">
            <v>Mazharul</v>
          </cell>
          <cell r="K104" t="str">
            <v>Messenger</v>
          </cell>
        </row>
        <row r="105">
          <cell r="C105">
            <v>21042017</v>
          </cell>
          <cell r="D105" t="str">
            <v>Pioneer Denim Limited</v>
          </cell>
          <cell r="E105" t="str">
            <v>Active</v>
          </cell>
          <cell r="F105">
            <v>64</v>
          </cell>
          <cell r="G105" t="str">
            <v>PDL/HO/APL/64.121217</v>
          </cell>
          <cell r="H105" t="str">
            <v>Mr.</v>
          </cell>
          <cell r="I105" t="str">
            <v>Male</v>
          </cell>
          <cell r="J105" t="str">
            <v>Mahbub Alam</v>
          </cell>
          <cell r="K105" t="str">
            <v>Executive - Finance &amp; Accounts</v>
          </cell>
        </row>
        <row r="106">
          <cell r="C106">
            <v>21122017</v>
          </cell>
          <cell r="D106" t="str">
            <v>Pioneer Denim Limited</v>
          </cell>
          <cell r="E106" t="str">
            <v>Active</v>
          </cell>
          <cell r="F106">
            <v>66</v>
          </cell>
          <cell r="G106" t="str">
            <v>PDL/HO/APL/66.160317</v>
          </cell>
          <cell r="H106" t="str">
            <v>Mr.</v>
          </cell>
          <cell r="I106" t="str">
            <v>Male</v>
          </cell>
          <cell r="J106" t="str">
            <v>Robin</v>
          </cell>
          <cell r="K106" t="str">
            <v>Messenger</v>
          </cell>
        </row>
        <row r="107">
          <cell r="C107">
            <v>21182018</v>
          </cell>
          <cell r="D107" t="str">
            <v>Pioneer Denim Limited</v>
          </cell>
          <cell r="E107" t="str">
            <v>Active</v>
          </cell>
          <cell r="F107">
            <v>68</v>
          </cell>
          <cell r="G107" t="str">
            <v>PDL/HO/APL/68.230118</v>
          </cell>
          <cell r="H107" t="str">
            <v>Mr.</v>
          </cell>
          <cell r="I107" t="str">
            <v>Male</v>
          </cell>
          <cell r="J107" t="str">
            <v>Md. Borhan Uddin</v>
          </cell>
          <cell r="K107" t="str">
            <v>Executive - Commercial</v>
          </cell>
        </row>
        <row r="108">
          <cell r="C108">
            <v>21402018</v>
          </cell>
          <cell r="D108" t="str">
            <v>Pioneer Denim Limited</v>
          </cell>
          <cell r="E108" t="str">
            <v>Active</v>
          </cell>
          <cell r="F108">
            <v>70</v>
          </cell>
          <cell r="G108" t="str">
            <v>PDL/HO/APL/70.151118</v>
          </cell>
          <cell r="H108" t="str">
            <v>Mr.</v>
          </cell>
          <cell r="I108" t="str">
            <v>Male</v>
          </cell>
          <cell r="J108" t="str">
            <v>Jalal Ahmmed</v>
          </cell>
          <cell r="K108" t="str">
            <v>Trainee - Commercial</v>
          </cell>
        </row>
        <row r="109">
          <cell r="C109">
            <v>21272018</v>
          </cell>
          <cell r="D109" t="str">
            <v>Pioneer Denim Limited</v>
          </cell>
          <cell r="E109" t="str">
            <v>Active</v>
          </cell>
          <cell r="F109">
            <v>72</v>
          </cell>
          <cell r="G109" t="str">
            <v>PDL/HO/APL/72.080321</v>
          </cell>
          <cell r="H109" t="str">
            <v>Mr.</v>
          </cell>
          <cell r="I109" t="str">
            <v>Male</v>
          </cell>
          <cell r="J109" t="str">
            <v>Md. Rezaul Karim</v>
          </cell>
          <cell r="K109" t="str">
            <v>Trainee Officer - Import</v>
          </cell>
        </row>
        <row r="110">
          <cell r="C110">
            <v>11272018</v>
          </cell>
          <cell r="D110" t="str">
            <v>Pioneer Denim Limited</v>
          </cell>
          <cell r="E110" t="str">
            <v>Active</v>
          </cell>
          <cell r="F110">
            <v>72</v>
          </cell>
          <cell r="G110" t="str">
            <v>PDL/HO/APL/72.011218</v>
          </cell>
          <cell r="H110" t="str">
            <v>Mr.</v>
          </cell>
          <cell r="I110" t="str">
            <v>Male</v>
          </cell>
          <cell r="J110" t="str">
            <v>Ahmed Shadman Raihan Shad</v>
          </cell>
          <cell r="K110" t="str">
            <v>Executive - Procurement</v>
          </cell>
        </row>
        <row r="111">
          <cell r="C111">
            <v>21392018</v>
          </cell>
          <cell r="D111" t="str">
            <v>Pioneer Denim Limited</v>
          </cell>
          <cell r="E111" t="str">
            <v>Active</v>
          </cell>
          <cell r="F111">
            <v>72</v>
          </cell>
          <cell r="G111" t="str">
            <v>PDL/HO/APL/72.011018</v>
          </cell>
          <cell r="H111" t="str">
            <v>Mr.</v>
          </cell>
          <cell r="I111" t="str">
            <v>Male</v>
          </cell>
          <cell r="J111" t="str">
            <v>Md. Mehedi Hasan</v>
          </cell>
          <cell r="K111" t="str">
            <v>Messenger</v>
          </cell>
        </row>
        <row r="112">
          <cell r="C112">
            <v>30250000</v>
          </cell>
          <cell r="D112" t="str">
            <v>Pioneer Denim Limited</v>
          </cell>
          <cell r="E112" t="str">
            <v>Active</v>
          </cell>
          <cell r="F112">
            <v>73</v>
          </cell>
          <cell r="G112" t="str">
            <v>PDL/HO/APL/73.010308</v>
          </cell>
          <cell r="H112" t="str">
            <v>Mr.</v>
          </cell>
          <cell r="I112" t="str">
            <v>Male</v>
          </cell>
          <cell r="J112" t="str">
            <v>Md. Habibur Rahman Siddique</v>
          </cell>
          <cell r="K112" t="str">
            <v>Manager - Customs</v>
          </cell>
        </row>
        <row r="113">
          <cell r="C113">
            <v>30702018</v>
          </cell>
          <cell r="D113" t="str">
            <v>Pioneer Denim Limited</v>
          </cell>
          <cell r="E113" t="str">
            <v>Active</v>
          </cell>
          <cell r="F113">
            <v>74</v>
          </cell>
          <cell r="G113" t="str">
            <v>PDL/HO/APL/74.100418</v>
          </cell>
          <cell r="H113" t="str">
            <v>Mr.</v>
          </cell>
          <cell r="I113" t="str">
            <v>Male</v>
          </cell>
          <cell r="J113" t="str">
            <v>Md. Humayun Kobir</v>
          </cell>
          <cell r="K113" t="str">
            <v>Executive - Customs</v>
          </cell>
        </row>
        <row r="114">
          <cell r="D114" t="str">
            <v>Pioneer Denim Limited</v>
          </cell>
          <cell r="F114">
            <v>75</v>
          </cell>
          <cell r="G114" t="str">
            <v>PDL/HO/APL/75.000100</v>
          </cell>
          <cell r="H114" t="str">
            <v/>
          </cell>
        </row>
        <row r="115">
          <cell r="D115" t="str">
            <v>Pioneer Denim Limited</v>
          </cell>
          <cell r="F115">
            <v>76</v>
          </cell>
          <cell r="G115" t="str">
            <v>PDL/HO/APL/76.000100</v>
          </cell>
          <cell r="H115" t="str">
            <v/>
          </cell>
        </row>
        <row r="116">
          <cell r="D116" t="str">
            <v>Pioneer Denim Limited</v>
          </cell>
          <cell r="F116">
            <v>77</v>
          </cell>
          <cell r="G116" t="str">
            <v>PDL/HO/APL/77.000100</v>
          </cell>
          <cell r="H116" t="str">
            <v/>
          </cell>
        </row>
        <row r="117">
          <cell r="D117" t="str">
            <v>Pioneer Denim Limited</v>
          </cell>
          <cell r="F117">
            <v>78</v>
          </cell>
          <cell r="G117" t="str">
            <v>PDL/HO/APL/78.000100</v>
          </cell>
          <cell r="H117" t="str">
            <v/>
          </cell>
        </row>
        <row r="125">
          <cell r="C125" t="str">
            <v>Active Emplyee</v>
          </cell>
          <cell r="D125">
            <v>87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id Rahman" refreshedDate="44502.48486365741" createdVersion="6" refreshedVersion="6" minRefreshableVersion="3" recordCount="250" xr:uid="{4937CA9A-66AF-45DD-B284-7F61B6AE059B}">
  <cacheSource type="worksheet">
    <worksheetSource ref="B1:AG1048576" sheet="DataBase"/>
  </cacheSource>
  <cacheFields count="29">
    <cacheField name="ID" numFmtId="0">
      <sharedItems containsString="0" containsBlank="1" containsNumber="1" containsInteger="1" minValue="10022004" maxValue="41192020" count="248">
        <n v="10062011"/>
        <n v="20042012"/>
        <n v="10042008"/>
        <n v="10052012"/>
        <n v="20532015"/>
        <n v="21072016"/>
        <n v="10132009"/>
        <n v="20092008"/>
        <n v="10582007"/>
        <n v="10782016"/>
        <n v="21152017"/>
        <n v="20332017"/>
        <n v="20342009"/>
        <n v="10752016"/>
        <n v="10732016"/>
        <n v="20302005"/>
        <n v="10392012"/>
        <n v="10402012"/>
        <n v="10722016"/>
        <n v="10692016"/>
        <n v="20932017"/>
        <n v="20992017"/>
        <n v="21212018"/>
        <n v="21322018"/>
        <n v="11012018"/>
        <n v="20282010"/>
        <n v="21132017"/>
        <n v="30572016"/>
        <n v="20982017"/>
        <n v="10712016"/>
        <n v="20352011"/>
        <n v="21232018"/>
        <n v="20842017"/>
        <n v="11092018"/>
        <n v="30211994"/>
        <n v="10252008"/>
        <n v="21032017"/>
        <n v="30150000"/>
        <n v="10882017"/>
        <n v="10242004"/>
        <n v="20922016"/>
        <n v="10852017"/>
        <n v="20242005"/>
        <n v="10982017"/>
        <n v="21272018"/>
        <n v="10762016"/>
        <n v="21002017"/>
        <n v="21052017"/>
        <n v="21202018"/>
        <n v="20072000"/>
        <n v="10092005"/>
        <n v="20122009"/>
        <n v="21142017"/>
        <n v="10542014"/>
        <n v="10192011"/>
        <n v="20062000"/>
        <n v="10112004"/>
        <n v="20172012"/>
        <n v="20152010"/>
        <n v="21312018"/>
        <n v="10202011"/>
        <n v="10212011"/>
        <n v="10222012"/>
        <n v="10522014"/>
        <n v="20892017"/>
        <n v="10602007"/>
        <n v="21182018"/>
        <n v="10022004"/>
        <n v="20102008"/>
        <n v="20142012"/>
        <n v="21162017"/>
        <n v="20762016"/>
        <n v="11262018"/>
        <n v="11132018"/>
        <n v="10182011"/>
        <n v="20542015"/>
        <n v="10152009"/>
        <n v="20162010"/>
        <n v="10812016"/>
        <n v="20822016"/>
        <n v="21222018"/>
        <n v="21282018"/>
        <n v="20462013"/>
        <n v="10412012"/>
        <n v="11042018"/>
        <n v="11122018"/>
        <n v="11252018"/>
        <n v="10702016"/>
        <n v="10122006"/>
        <n v="20652014"/>
        <n v="20702016"/>
        <n v="10672016"/>
        <n v="10081999"/>
        <n v="20912016"/>
        <n v="10962017"/>
        <n v="11242018"/>
        <n v="11002017"/>
        <n v="10172019"/>
        <n v="20862017"/>
        <n v="21062016"/>
        <n v="11272018"/>
        <n v="21102017"/>
        <n v="20402006"/>
        <n v="21112017"/>
        <n v="10431999"/>
        <n v="10632016"/>
        <n v="20420000"/>
        <n v="10582015"/>
        <n v="20792016"/>
        <n v="20972016"/>
        <n v="21082017"/>
        <n v="21122017"/>
        <n v="20872017"/>
        <n v="21292018"/>
        <n v="20412000"/>
        <n v="20442006"/>
        <n v="20832016"/>
        <n v="21012017"/>
        <n v="21022017"/>
        <n v="10352009"/>
        <n v="10952017"/>
        <n v="20692016"/>
        <n v="21172018"/>
        <n v="21042017"/>
        <n v="40312017"/>
        <n v="21092017"/>
        <n v="20812016"/>
        <n v="11052018"/>
        <n v="11102018"/>
        <n v="30532016"/>
        <n v="11082018"/>
        <n v="21422018"/>
        <n v="21392018"/>
        <n v="21382018"/>
        <n v="21512019"/>
        <n v="21412018"/>
        <n v="21252018"/>
        <n v="20522011"/>
        <n v="21242018"/>
        <n v="10612015"/>
        <n v="11152018"/>
        <n v="11282018"/>
        <n v="21452019"/>
        <n v="21472019"/>
        <n v="11302019"/>
        <n v="21462019"/>
        <n v="21442018"/>
        <n v="40512018"/>
        <n v="40452018"/>
        <n v="40462018"/>
        <n v="40712019"/>
        <n v="40352018"/>
        <n v="40422018"/>
        <n v="40522018"/>
        <n v="40502018"/>
        <n v="40322018"/>
        <n v="21402018"/>
        <n v="40442018"/>
        <n v="40392018"/>
        <n v="40362018"/>
        <n v="40052018"/>
        <n v="40372018"/>
        <n v="40432018"/>
        <n v="40472018"/>
        <n v="40332018"/>
        <n v="40592019"/>
        <n v="40652019"/>
        <n v="40612019"/>
        <n v="40622019"/>
        <n v="40562019"/>
        <n v="40602019"/>
        <n v="40732019"/>
        <n v="40912020"/>
        <n v="40942020"/>
        <n v="40952020"/>
        <n v="41012020"/>
        <n v="41112020"/>
        <n v="41062020"/>
        <n v="30250000"/>
        <n v="30702018"/>
        <n v="40962020"/>
        <n v="40972020"/>
        <n v="40822019"/>
        <n v="41032020"/>
        <n v="41072020"/>
        <n v="10102012"/>
        <n v="41142020"/>
        <n v="41152020"/>
        <n v="41122020"/>
        <n v="41132020"/>
        <n v="41162020"/>
        <n v="41052020"/>
        <n v="41102020"/>
        <n v="40772019"/>
        <n v="40922020"/>
        <n v="41172020"/>
        <n v="41192020"/>
        <n v="40782019"/>
        <n v="41022020"/>
        <n v="40672019"/>
        <n v="40892019"/>
        <n v="40872019"/>
        <n v="40932020"/>
        <n v="40982020"/>
        <n v="40842019"/>
        <n v="40852019"/>
        <n v="40902019"/>
        <n v="11392020"/>
        <n v="11432020"/>
        <n v="11452020"/>
        <n v="21842020"/>
        <n v="11472020"/>
        <n v="21762020"/>
        <n v="11412020"/>
        <n v="11422020"/>
        <n v="11342019"/>
        <n v="21752020"/>
        <n v="11402020"/>
        <n v="21812020"/>
        <n v="21602019"/>
        <n v="11442020"/>
        <n v="21792020"/>
        <n v="21862020"/>
        <n v="11382020"/>
        <n v="21692019"/>
        <n v="11352020"/>
        <n v="21712019"/>
        <n v="11482020"/>
        <n v="21852020"/>
        <n v="11462020"/>
        <n v="21662019"/>
        <n v="21702019"/>
        <n v="30482016"/>
        <n v="21492019"/>
        <n v="21592019"/>
        <n v="21652019"/>
        <n v="21672019"/>
        <n v="21642019"/>
        <n v="21562019"/>
        <n v="21622019"/>
        <n v="21632019"/>
        <n v="21682019"/>
        <n v="21862021"/>
        <n v="21532019"/>
        <n v="21832020"/>
        <n v="21782020"/>
        <n v="21732020"/>
        <m/>
      </sharedItems>
    </cacheField>
    <cacheField name="Name" numFmtId="0">
      <sharedItems containsBlank="1" count="246">
        <s v="Md. Kamruzzaman "/>
        <s v="Mohammed Nurul Akter Chowdhury"/>
        <s v="Liton Apu Biswas"/>
        <s v="Md. Abdul Maleque "/>
        <s v="Md. Mahmudul Alam Chapol"/>
        <s v="Md. Alamgir Mia"/>
        <s v="Ahsan Shiblee"/>
        <s v="Khandker Mustafizur Rahman"/>
        <s v="Md. Mahabubur Rahman"/>
        <s v="Mohammad Kawsar Molla"/>
        <s v="Mir Muhshiuzzaman"/>
        <s v="Moniruzzaman"/>
        <s v="Mohammad Shawkot Alam"/>
        <s v="Md. Sharforaz Hossain"/>
        <s v="Md. Bablu"/>
        <s v="Md. Ruhul Amin"/>
        <s v="Md. Abdul Motin"/>
        <s v="Md. Rofiqul Islam"/>
        <s v="Muhammad Masum Billah"/>
        <s v="Md. Oaliullah"/>
        <s v="Md. Humayun Kabir"/>
        <s v="Mostafizur Rahman"/>
        <s v="Md. Shahadat Hossain"/>
        <s v="Md. Ridoy Masud Bhuiyan"/>
        <s v="Mohammad Kabir Hossain"/>
        <s v="Md. Mehedi Hasan"/>
        <s v="Md. Moniruzzaman"/>
        <s v="Md. Abdus Sabur Talukder"/>
        <s v="Gobinda Chandra Dey"/>
        <s v="Md. Amin Ullah"/>
        <s v="Md. Safiul Muznabin"/>
        <s v="Md. Shafiqul Islam"/>
        <s v="Yousuf Ahmmed"/>
        <s v="Mosharraf Hossain Chowdhury (Faisal)"/>
        <s v="Ashadullaha Ahamed"/>
        <s v="Azmul Karim"/>
        <s v="Md. Moshiur Rahman"/>
        <s v="Md. Rabiul Alam"/>
        <s v="Md. Farid Uddin"/>
        <s v="Md. Obydul "/>
        <s v="Md. Mosharaf Hossain"/>
        <s v="Mohammad Shamsul Alam"/>
        <s v="Md. Mustafizur Rahman"/>
        <s v="Md. Nayem Hasan Khan Majlish"/>
        <s v="Md. Rezaul Karim"/>
        <s v="Md. Rashid Ahmed"/>
        <s v="Md. Nahid Aktar"/>
        <s v="Md. Neshan Sardar"/>
        <s v="Md. Abdullah Al Noman"/>
        <s v="Rakibul Hasan Chowdhury"/>
        <s v="Md. Saifur Rahaman "/>
        <s v="Syed Mahmood Hassan"/>
        <s v="Sohebul Islam"/>
        <s v="Md. Foysal Hassan"/>
        <s v="Md. Kamal Ahmed "/>
        <s v="Asraful Islam"/>
        <s v="Mohmmad Omar Faruque"/>
        <s v="Md. Al-Amin Khan"/>
        <s v="Md. Arif Hossain"/>
        <s v="Muhammad Milon Hossain Molla"/>
        <s v="Muhammad Momin Hossen"/>
        <s v="Md. Shakamal"/>
        <s v="Ashiqur Rahman Robin"/>
        <s v="Arshadul Haque Molla"/>
        <s v="Mahamudun Nabi Ove"/>
        <s v="Md. Aminul Islam"/>
        <s v="Md. Borhan Uddin"/>
        <s v="Sheikh Salahuddin "/>
        <s v="Prabir Das"/>
        <s v="Suman Chandra Malo"/>
        <s v="Md. Anowarul Hoque Khan"/>
        <s v="Foysal Hossen"/>
        <s v="Md. Tanmoy Bhuiyan"/>
        <s v="Md. Kamruzzaman Azad"/>
        <s v="Md. Rokunuzzaman Prince"/>
        <s v="Md. Selim Suzan"/>
        <s v="Md. Mustafa Kamal"/>
        <s v="Raihan Mahmud"/>
        <s v="Tayubur Rahman"/>
        <s v="Md. Arifuzzaman"/>
        <s v="Md. Najmul Hushain"/>
        <s v="Md. Zahidul Islam"/>
        <s v="Pervez Mia"/>
        <s v="Md. Abdul Karim"/>
        <s v="S.M. Nuruddin Chowdhury"/>
        <s v="Md. Mohibullah"/>
        <s v="Md. Mohibur Rahman"/>
        <s v="Abdur Rahman "/>
        <s v="Kh. Moyazzem Hossain"/>
        <s v="Md. Khurshid Alam"/>
        <s v="Mohammad Rajibur Rahman"/>
        <s v="Abdullah Al Arif"/>
        <s v="Md. Bakiullah"/>
        <s v="Habibullah "/>
        <s v="Md. Faruk Reza"/>
        <s v="Md. Towfiqul Islam"/>
        <s v="Md. Al Amin Ahmed"/>
        <s v="Md. Mokhlesur Rahman Masum"/>
        <s v="Md. Shamim Hossain"/>
        <s v="Md. Shahin Alom"/>
        <s v="Ahmed Shadman Raihan"/>
        <s v="Mohiuddin Talukder"/>
        <s v="Md. Rajib Chowkeder (Razu)"/>
        <s v="Md. Kibria Shake"/>
        <s v="Md. Azam Pasha "/>
        <s v="Abul Bashar Sheikh"/>
        <s v="Md. Anis Miah"/>
        <s v="Jashim Uddin"/>
        <s v="Md. Saiful Islam"/>
        <s v="Mazharul"/>
        <s v="Md. Alamgir Hossain"/>
        <s v="Robin"/>
        <s v="Mamun Hossen"/>
        <s v="Sovo (Md. Shuvo Bhuiyan)"/>
        <s v="Md. Tamiz Uddin"/>
        <s v="Md. Kabir"/>
        <s v="Md. Modasser Hossain"/>
        <s v="Md. Foysal Hossen"/>
        <s v="Md. Sohel Hossen"/>
        <s v="Muhammad Ashraful Alam"/>
        <s v="Mohammad Mehedi Hasan"/>
        <s v="S.M. Mahdi Hasan"/>
        <s v="Ramiz Uddin Khan"/>
        <s v="Mahbub Alam"/>
        <s v="Md. Shahidul Islam"/>
        <s v="Md. Masud Yusuf Gazi"/>
        <s v="Md. Yeakub Ali"/>
        <s v="Navid Md. Rezaur Rahman"/>
        <s v="S.M. Towfique Imam Ayon"/>
        <s v="Md. Shamsur Rahman Shams"/>
        <s v="Md. Miraz Molla"/>
        <s v="Md. Karimul"/>
        <s v="Md. Jamal Hossain"/>
        <s v="Nasima"/>
        <s v="Md. Masud Rana"/>
        <s v="Md. Shazib Madbar"/>
        <s v="Md. Lokman Hossain"/>
        <s v="Md. Rubel"/>
        <s v="Md. Abu Hanif"/>
        <s v="Md. Asaduzzaman Fakir"/>
        <s v="Md. Shahjada Bhuiyan"/>
        <s v="Md. Masum Billah"/>
        <s v="Taslim Ahmed"/>
        <s v="Md. Akkas Mian (Sehan)"/>
        <s v="Md. Rashel"/>
        <s v="Dinaj Mia"/>
        <s v="Mohammad Kamruzzaman Noman"/>
        <s v="Md. Mahmudul Hasan"/>
        <s v="Tariqul Islam"/>
        <s v="Chitta Ranjan Saha"/>
        <s v="Md. Nur Mahamud"/>
        <s v="Md. Shohidulla Hassan"/>
        <s v="Md. Mizanur Rahman"/>
        <s v="Shamsuzzaman"/>
        <s v="Nabil Hasan"/>
        <s v="Jalal Ahmmed"/>
        <s v="Mohammad Tamjid Hasan"/>
        <s v="Kumar Pretresh Bhattacharjce"/>
        <s v="Md. Hasibul Huda"/>
        <s v="Atekur Rahman Nayim"/>
        <s v="Gazi Fayshal Ahmed"/>
        <s v="Md. Zahidur Rahman"/>
        <s v="Md. Mojammel Hoque"/>
        <s v="Jalal Gazi"/>
        <s v="Abrar Rahman Siam"/>
        <s v="Md. Arafat Hossain"/>
        <s v="Ali Asrafuzzaman"/>
        <s v="Md. Munirul Islam"/>
        <s v="Mehedi Al Masud"/>
        <s v="Mohammad Rafiqul Islam"/>
        <s v="Shahriar Mahmud"/>
        <s v="Arifuzzaman Nur"/>
        <s v="Md. Tanveer Ahmed"/>
        <s v="Sheikh Mukarram Hussain"/>
        <s v="Sumon Mollah"/>
        <s v="Md. Delwer Hossain"/>
        <s v="Md. Sharif Sarker"/>
        <s v="Md. Habibur Rahman Siddique"/>
        <s v="Md. Humayun Kobir"/>
        <s v="Md. Habib Prodhan"/>
        <s v="Bayazid Hossen Gulzar"/>
        <s v="Md. Ashiqur Rahman"/>
        <s v="Md. Hemaet Ullah"/>
        <s v="Mohammad Tofajjal Hossain"/>
        <s v="Md. Tyoubur Rahman"/>
        <s v="Md. Ashraful Alam"/>
        <s v="Md. Hasan Uzzaman"/>
        <s v="Mahbubur Rahman Chowdhury"/>
        <s v="Md. Ariful Islam"/>
        <s v="Omar Khaium"/>
        <s v="Muhammad Zakir Hossain"/>
        <s v="Md. Johan Islam"/>
        <s v="Md. Emran Hossain Khan"/>
        <s v="Md. Syed Mizanul Huq"/>
        <s v="Asif Wares Khan"/>
        <s v="Md. Kamal Hossain"/>
        <s v="Abu Saleh Md Musa"/>
        <s v="Md. Asad Ullah"/>
        <s v="Daud Bin Jafar"/>
        <s v="Md. Zakir Hossain"/>
        <s v="Md. Arfatul Islam Tanjil"/>
        <s v="Md. Mahedi Hasan"/>
        <s v="Md. Hafijur Rahman"/>
        <s v="Md. Sahed Ahmed"/>
        <s v="Sohel Mahmud"/>
        <s v="All Imran Khan"/>
        <s v="Md. Anisur Rahman"/>
        <s v="Md. Azam Ali"/>
        <s v="Md. Hanif Hussain Sujan"/>
        <s v="Md. Ilius Hossain"/>
        <s v="Rashed Mahmud Rasel"/>
        <s v="Md. Areful Islam"/>
        <s v="Md. Mohsin"/>
        <s v="Kaushik Ahammad"/>
        <s v="Rakibul Hasan"/>
        <s v="Md. Mafen Bhuiyan"/>
        <s v="Md. Maruf Hossain"/>
        <s v="Muhammad Habibur Rahman FCMA"/>
        <s v="Kazi Atiq Ullah"/>
        <s v="Md. Shihab Kabir"/>
        <s v="Imran Hossain"/>
        <s v="Muhammad Al-Amin"/>
        <s v="Ruhul Amin"/>
        <s v="Md. Shahjahan Mia"/>
        <s v="Dewan Md. Liaqat Ali"/>
        <s v="S. M. Arif Ahmed"/>
        <s v="Md. Tuffazzal Hussain"/>
        <s v="Md. Sakawat Hossain Apon"/>
        <s v="Md. Riad Hossain"/>
        <s v="Md. Mohin"/>
        <s v="Imam Hossain "/>
        <s v="Md. Sohag Hossain"/>
        <s v="Md. Mostafa Kamal"/>
        <s v="Md. Salim Miha"/>
        <s v="Sabuj (Md. Saiful)"/>
        <s v="Md. Imran Hossain"/>
        <s v="Abdul Rahim"/>
        <s v="Md. Zillur Rahman"/>
        <s v="Md Shafiqul Islam"/>
        <s v="Md. Abul Bashar Nasir"/>
        <s v="Zafor Ahammad"/>
        <s v="Md. Suzad Shek"/>
        <s v="Md. Bozlur Rahman"/>
        <s v="Md. Mainuddin"/>
        <e v="#N/A"/>
        <m/>
      </sharedItems>
    </cacheField>
    <cacheField name="DOJ" numFmtId="0">
      <sharedItems containsNonDate="0" containsString="0" containsBlank="1"/>
    </cacheField>
    <cacheField name="Increment_16" numFmtId="164">
      <sharedItems containsString="0" containsBlank="1" containsNumber="1" containsInteger="1" minValue="0" maxValue="10000"/>
    </cacheField>
    <cacheField name="Emp_Status" numFmtId="164">
      <sharedItems containsBlank="1" containsMixedTypes="1" containsNumber="1" containsInteger="1" minValue="0" maxValue="0"/>
    </cacheField>
    <cacheField name="Business_Unit_17" numFmtId="164">
      <sharedItems containsBlank="1" containsMixedTypes="1" containsNumber="1" containsInteger="1" minValue="0" maxValue="0" count="5">
        <s v="BTL/KYL"/>
        <s v="Inactive"/>
        <s v="Pioneer Dnim Limited"/>
        <n v="0"/>
        <m/>
      </sharedItems>
    </cacheField>
    <cacheField name="Department_17" numFmtId="164">
      <sharedItems containsBlank="1" containsMixedTypes="1" containsNumber="1" containsInteger="1" minValue="0" maxValue="0" count="14">
        <s v="Marketing &amp; Sales"/>
        <s v="Finance &amp; Accounts"/>
        <s v="Audit"/>
        <s v="Export Import Audit"/>
        <s v="Inactive"/>
        <s v="Import"/>
        <s v="Procurement"/>
        <s v="Information Technology"/>
        <s v="Commercial"/>
        <s v="Civil"/>
        <s v="Administration"/>
        <s v="Transport"/>
        <n v="0"/>
        <m/>
      </sharedItems>
    </cacheField>
    <cacheField name="Position_17" numFmtId="164">
      <sharedItems containsBlank="1" containsMixedTypes="1" containsNumber="1" containsInteger="1" minValue="0" maxValue="0"/>
    </cacheField>
    <cacheField name="Increment_17" numFmtId="164">
      <sharedItems containsString="0" containsBlank="1" containsNumber="1" containsInteger="1" minValue="0" maxValue="40000" count="13">
        <n v="10000"/>
        <n v="5000"/>
        <m/>
        <n v="7000"/>
        <n v="3000"/>
        <n v="0"/>
        <n v="2000"/>
        <n v="4000"/>
        <n v="6000"/>
        <n v="1000"/>
        <n v="40000"/>
        <n v="500"/>
        <n v="14000"/>
      </sharedItems>
    </cacheField>
    <cacheField name="Promotion_17" numFmtId="164">
      <sharedItems containsBlank="1" containsMixedTypes="1" containsNumber="1" containsInteger="1" minValue="0" maxValue="0"/>
    </cacheField>
    <cacheField name="Salary_17" numFmtId="164">
      <sharedItems containsString="0" containsBlank="1" containsNumber="1" containsInteger="1" minValue="0" maxValue="180000"/>
    </cacheField>
    <cacheField name="Remarks_17" numFmtId="164">
      <sharedItems containsBlank="1"/>
    </cacheField>
    <cacheField name="Emp_Status2" numFmtId="164">
      <sharedItems containsBlank="1"/>
    </cacheField>
    <cacheField name="Business_Unit_18" numFmtId="164">
      <sharedItems containsBlank="1"/>
    </cacheField>
    <cacheField name="Department_18" numFmtId="164">
      <sharedItems containsBlank="1"/>
    </cacheField>
    <cacheField name="Position_18" numFmtId="164">
      <sharedItems containsBlank="1"/>
    </cacheField>
    <cacheField name="Increment_18" numFmtId="164">
      <sharedItems containsString="0" containsBlank="1" containsNumber="1" containsInteger="1" minValue="0" maxValue="48000"/>
    </cacheField>
    <cacheField name="Promotion_18" numFmtId="164">
      <sharedItems containsBlank="1"/>
    </cacheField>
    <cacheField name="Salary_18" numFmtId="164">
      <sharedItems containsString="0" containsBlank="1" containsNumber="1" containsInteger="1" minValue="0" maxValue="350000"/>
    </cacheField>
    <cacheField name="Remarks_18" numFmtId="164">
      <sharedItems containsBlank="1"/>
    </cacheField>
    <cacheField name="Employment" numFmtId="164">
      <sharedItems containsBlank="1"/>
    </cacheField>
    <cacheField name="Business_Unit_20" numFmtId="164">
      <sharedItems containsBlank="1"/>
    </cacheField>
    <cacheField name="Department_20" numFmtId="164">
      <sharedItems containsBlank="1"/>
    </cacheField>
    <cacheField name="Position_20" numFmtId="0">
      <sharedItems containsBlank="1"/>
    </cacheField>
    <cacheField name="Previous Salary" numFmtId="0">
      <sharedItems containsString="0" containsBlank="1" containsNumber="1" containsInteger="1" minValue="0" maxValue="350000"/>
    </cacheField>
    <cacheField name="Increment_20" numFmtId="164">
      <sharedItems containsString="0" containsBlank="1" containsNumber="1" containsInteger="1" minValue="0" maxValue="40000"/>
    </cacheField>
    <cacheField name="Promotion_20" numFmtId="0">
      <sharedItems containsNonDate="0" containsString="0" containsBlank="1"/>
    </cacheField>
    <cacheField name="Salary_20" numFmtId="164">
      <sharedItems containsString="0" containsBlank="1" containsNumber="1" containsInteger="1" minValue="0" maxValue="360000"/>
    </cacheField>
    <cacheField name="Remarks_2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id Rahman" refreshedDate="44502.618964930552" createdVersion="6" refreshedVersion="6" minRefreshableVersion="3" recordCount="216" xr:uid="{8D18B91C-01DF-4730-8A02-BAF46B90FE0E}">
  <cacheSource type="worksheet">
    <worksheetSource ref="B1:N1048576" sheet="2020"/>
  </cacheSource>
  <cacheFields count="13">
    <cacheField name="ID" numFmtId="0">
      <sharedItems containsString="0" containsBlank="1" containsNumber="1" containsInteger="1" minValue="10022004" maxValue="41192020" count="208">
        <n v="20862017"/>
        <n v="21062016"/>
        <n v="10431999"/>
        <n v="10632016"/>
        <n v="20420000"/>
        <n v="21082017"/>
        <n v="20872017"/>
        <n v="20412000"/>
        <n v="20442006"/>
        <n v="21012017"/>
        <n v="21022017"/>
        <n v="11082018"/>
        <n v="21382018"/>
        <n v="21512019"/>
        <n v="21442018"/>
        <n v="11352020"/>
        <n v="21712019"/>
        <n v="11482020"/>
        <n v="21852020"/>
        <n v="21662019"/>
        <n v="21702019"/>
        <n v="21492019"/>
        <n v="21592019"/>
        <n v="21652019"/>
        <n v="21672019"/>
        <n v="11012018"/>
        <n v="20282010"/>
        <n v="21132017"/>
        <n v="30572016"/>
        <n v="21452019"/>
        <n v="11432020"/>
        <n v="20072000"/>
        <n v="20122009"/>
        <n v="21142017"/>
        <n v="10542014"/>
        <n v="10192011"/>
        <n v="20062000"/>
        <n v="21312018"/>
        <n v="10212011"/>
        <n v="10222012"/>
        <n v="10522014"/>
        <n v="20892017"/>
        <n v="10602007"/>
        <n v="10022004"/>
        <n v="20142012"/>
        <n v="21162017"/>
        <n v="11132018"/>
        <n v="10152009"/>
        <n v="20162010"/>
        <n v="20822016"/>
        <n v="21222018"/>
        <n v="21282018"/>
        <n v="20462013"/>
        <n v="10412012"/>
        <n v="11042018"/>
        <n v="11122018"/>
        <n v="11252018"/>
        <n v="10081999"/>
        <n v="21102017"/>
        <n v="11342019"/>
        <n v="21752020"/>
        <n v="11402020"/>
        <n v="21812020"/>
        <n v="20172012"/>
        <n v="20912016"/>
        <n v="11242018"/>
        <n v="10712016"/>
        <n v="20352011"/>
        <n v="21232018"/>
        <n v="20842017"/>
        <n v="11452020"/>
        <n v="21842020"/>
        <n v="10782016"/>
        <n v="21152017"/>
        <n v="20342009"/>
        <n v="10752016"/>
        <n v="10732016"/>
        <n v="20302005"/>
        <n v="10392012"/>
        <n v="10402012"/>
        <n v="10722016"/>
        <n v="10692016"/>
        <n v="20932017"/>
        <n v="21212018"/>
        <n v="21322018"/>
        <n v="21292018"/>
        <n v="21602019"/>
        <n v="11442020"/>
        <n v="21792020"/>
        <n v="21862020"/>
        <n v="11382020"/>
        <n v="21692019"/>
        <n v="11092018"/>
        <n v="30211994"/>
        <n v="21032017"/>
        <n v="20402006"/>
        <n v="10762016"/>
        <n v="21762020"/>
        <n v="10062011"/>
        <n v="20042012"/>
        <n v="10042008"/>
        <n v="10052012"/>
        <n v="21072016"/>
        <n v="10132009"/>
        <n v="10182011"/>
        <n v="11282018"/>
        <n v="11392020"/>
        <n v="11302019"/>
        <n v="30150000"/>
        <n v="10242004"/>
        <n v="20922016"/>
        <n v="10852017"/>
        <n v="20242005"/>
        <n v="10982017"/>
        <n v="21472019"/>
        <n v="11472020"/>
        <n v="11462020"/>
        <n v="21252018"/>
        <n v="20522011"/>
        <n v="21242018"/>
        <n v="10612015"/>
        <n v="21642019"/>
        <n v="21562019"/>
        <n v="21622019"/>
        <n v="21632019"/>
        <n v="21682019"/>
        <n v="21862021"/>
        <n v="21532019"/>
        <n v="21832020"/>
        <n v="21782020"/>
        <n v="21732020"/>
        <n v="21422018"/>
        <n v="30482016"/>
        <m/>
        <n v="10582015"/>
        <n v="20792016"/>
        <n v="21122017"/>
        <n v="21392018"/>
        <n v="40332018"/>
        <n v="40962020"/>
        <n v="40972020"/>
        <n v="20812016"/>
        <n v="41122020"/>
        <n v="41132020"/>
        <n v="41162020"/>
        <n v="10092005"/>
        <n v="20152010"/>
        <n v="21182018"/>
        <n v="20102008"/>
        <n v="11262018"/>
        <n v="40322018"/>
        <n v="21402018"/>
        <n v="40442018"/>
        <n v="40622019"/>
        <n v="40732019"/>
        <n v="40912020"/>
        <n v="40942020"/>
        <n v="40952020"/>
        <n v="41012020"/>
        <n v="41112020"/>
        <n v="40602019"/>
        <n v="41062020"/>
        <n v="30250000"/>
        <n v="30702018"/>
        <n v="20332017"/>
        <n v="21042017"/>
        <n v="40312017"/>
        <n v="40512018"/>
        <n v="40452018"/>
        <n v="40462018"/>
        <n v="40712019"/>
        <n v="40822019"/>
        <n v="41032020"/>
        <n v="10252008"/>
        <n v="10702016"/>
        <n v="41072020"/>
        <n v="10102012"/>
        <n v="41142020"/>
        <n v="41152020"/>
        <n v="40362018"/>
        <n v="40052018"/>
        <n v="40372018"/>
        <n v="40432018"/>
        <n v="40592019"/>
        <n v="40652019"/>
        <n v="41052020"/>
        <n v="41102020"/>
        <n v="40772019"/>
        <n v="40922020"/>
        <n v="41172020"/>
        <n v="41192020"/>
        <n v="40782019"/>
        <n v="41022020"/>
        <n v="40672019"/>
        <n v="40892019"/>
        <n v="40872019"/>
        <n v="40932020"/>
        <n v="40982020"/>
        <n v="40842019"/>
        <n v="40852019"/>
        <n v="40902019"/>
        <n v="11272018"/>
        <n v="10352009"/>
        <n v="10952017"/>
        <n v="20692016"/>
        <n v="40422018"/>
        <n v="40522018"/>
        <n v="40502018"/>
      </sharedItems>
    </cacheField>
    <cacheField name="Name" numFmtId="0">
      <sharedItems containsBlank="1" count="206">
        <s v="Md. Shamim Hossain"/>
        <s v="Md. Shahin Alom"/>
        <s v="Md. Azam Pasha "/>
        <s v="Abul Bashar Sheikh"/>
        <s v="Md. Anis Miah"/>
        <s v="Md. Alamgir Hossain"/>
        <s v="Mamun Hossen"/>
        <s v="Md. Tamiz Uddin"/>
        <s v="Md. Kabir"/>
        <s v="Md. Foysal Hossen"/>
        <s v="Md. Sohel Hossen"/>
        <s v="Md. Miraz Molla"/>
        <s v="Md. Jamal Hossain"/>
        <s v="Nasima"/>
        <s v="Dinaj Mia"/>
        <s v="Abdullah Al Arif"/>
        <s v="Md. Shahjahan Mia"/>
        <s v="Dewan Md. Liaqat Ali"/>
        <s v="S. M. Arif Ahmed"/>
        <s v="Md. Sakawat Hossain Apon"/>
        <s v="Md. Riad Hossain"/>
        <s v="Imam Hossain "/>
        <s v="Md. Sohag Hossain"/>
        <s v="Md. Mostafa Kamal"/>
        <s v="Md. Salim Miha"/>
        <s v="Mohammad Kabir Hossain"/>
        <s v="Md. Mehedi Hasan"/>
        <s v="Md. Moniruzzaman"/>
        <s v="Md. Abdus Sabur Talukder"/>
        <s v="Md. Masum Billah"/>
        <s v="Md. Azam Ali"/>
        <s v="Rakibul Hasan Chowdhury"/>
        <s v="Syed Mahmood Hassan"/>
        <s v="Sohebul Islam"/>
        <s v="Md. Foysal Hassan"/>
        <s v="Md. Kamal Ahmed "/>
        <s v="Asraful Islam"/>
        <s v="Muhammad Milon Hossain Molla"/>
        <s v="Md. Shakamal"/>
        <s v="Ashiqur Rahman Robin"/>
        <s v="Arshadul Haque Molla"/>
        <s v="Mahamudun Nabi Ove"/>
        <s v="Md. Aminul Islam"/>
        <s v="Sheikh Salahuddin "/>
        <s v="Suman Chandra Malo"/>
        <s v="Md. Anowarul Hoque Khan"/>
        <s v="Md. Kamruzzaman Azad"/>
        <s v="Md. Mustafa Kamal"/>
        <s v="Raihan Mahmud"/>
        <s v="Md. Arifuzzaman"/>
        <s v="Md. Najmul Hushain"/>
        <s v="Md. Zahidul Islam"/>
        <s v="Pervez Mia"/>
        <s v="Md. Abdul Karim"/>
        <s v="S.M. Nuruddin Chowdhury"/>
        <s v="Md. Mohibullah"/>
        <s v="Md. Mohibur Rahman"/>
        <s v="Md. Bakiullah"/>
        <s v="Mohiuddin Talukder"/>
        <s v="Rakibul Hasan"/>
        <s v="Md. Mafen Bhuiyan"/>
        <s v="Md. Maruf Hossain"/>
        <s v="Md. Al-Amin Khan"/>
        <s v="Habibullah "/>
        <s v="Md. Towfiqul Islam"/>
        <s v="Md. Amin Ullah"/>
        <s v="Md. Safiul Muznabin"/>
        <s v="Md. Shafiqul Islam"/>
        <s v="Yousuf Ahmmed"/>
        <s v="Md. Hanif Hussain Sujan"/>
        <s v="Md. Ilius Hossain"/>
        <s v="Mohammad Kawsar Molla"/>
        <s v="Mir Muhshiuzzaman"/>
        <s v="Mohammad Shawkot Alam"/>
        <s v="Md. Sharforaz Hossain"/>
        <s v="Md. Bablu"/>
        <s v="Md. Ruhul Amin"/>
        <s v="Md. Abdul Motin"/>
        <s v="Md. Rofiqul Islam"/>
        <s v="Muhammad Masum Billah"/>
        <s v="Md. Oaliullah"/>
        <s v="Md. Humayun Kabir"/>
        <s v="Md. Shahadat Hossain"/>
        <s v="Md. Ridoy Masud Bhuiyan"/>
        <s v="Sovo (Md. Shuvo Bhuiyan)"/>
        <s v="Muhammad Habibur Rahman FCMA"/>
        <s v="Kazi Atiq Ullah"/>
        <s v="Md. Shihab Kabir"/>
        <s v="Imran Hossain"/>
        <s v="Muhammad Al-Amin"/>
        <s v="Ruhul Amin"/>
        <s v="Mosharraf Hossain Chowdhury (Faisal)"/>
        <s v="Ashadullaha Ahamed"/>
        <s v="Md. Moshiur Rahman"/>
        <s v="Md. Rajib Chowkeder (Razu)"/>
        <s v="Md. Rashid Ahmed"/>
        <s v="Md. Areful Islam"/>
        <s v="Md. Kamruzzaman "/>
        <s v="Mohammed Nurul Akter Chowdhury"/>
        <s v="Liton Apu Biswas"/>
        <s v="Md. Abdul Maleque "/>
        <s v="Md. Alamgir Mia"/>
        <s v="Ahsan Shiblee"/>
        <s v="Md. Rokunuzzaman Prince"/>
        <s v="Md. Shahjada Bhuiyan"/>
        <s v="Md. Anisur Rahman"/>
        <s v="Md. Akkas Mian (Sehan)"/>
        <s v="Md. Rabiul Alam"/>
        <s v="Md. Obydul "/>
        <s v="Md. Mosharaf Hossain"/>
        <s v="Mohammad Shamsul Alam"/>
        <s v="Md. Mustafizur Rahman"/>
        <s v="Md. Nayem Hasan Khan Majlish"/>
        <s v="Taslim Ahmed"/>
        <s v="Rashed Mahmud Rasel"/>
        <s v="Md. Tuffazzal Hussain"/>
        <s v="Md. Shazib Madbar"/>
        <s v="Md. Lokman Hossain"/>
        <s v="Md. Rubel"/>
        <s v="Md. Abu Hanif"/>
        <s v="Sabuj (Md. Saiful)"/>
        <s v="Md. Imran Hossain"/>
        <s v="Abdul Rahim"/>
        <s v="Md. Zillur Rahman"/>
        <s v="Md Shafiqul Islam"/>
        <s v="Md. Abul Bashar Nasir"/>
        <s v="Zafor Ahammad"/>
        <s v="Md. Suzad Shek"/>
        <s v="Md. Bozlur Rahman"/>
        <s v="Md. Mainuddin"/>
        <s v="Md. Karimul"/>
        <s v="Md. Mohin"/>
        <m/>
        <s v="Jashim Uddin"/>
        <s v="Md. Saiful Islam"/>
        <s v="Robin"/>
        <s v="Jalal Gazi"/>
        <s v="Md. Habib Prodhan"/>
        <s v="Bayazid Hossen Gulzar"/>
        <s v="Md. Yeakub Ali"/>
        <s v="Mahbubur Rahman Chowdhury"/>
        <s v="Md. Ariful Islam"/>
        <s v="Omar Khaium"/>
        <s v="Md. Saifur Rahaman "/>
        <s v="Md. Arif Hossain"/>
        <s v="Md. Borhan Uddin"/>
        <s v="Prabir Das"/>
        <s v="Md. Tanmoy Bhuiyan"/>
        <s v="Nabil Hasan"/>
        <s v="Jalal Ahmmed"/>
        <s v="Mohammad Tamjid Hasan"/>
        <s v="Md. Munirul Islam"/>
        <s v="Shahriar Mahmud"/>
        <s v="Arifuzzaman Nur"/>
        <s v="Md. Tanveer Ahmed"/>
        <s v="Sheikh Mukarram Hussain"/>
        <s v="Sumon Mollah"/>
        <s v="Md. Delwer Hossain"/>
        <s v="Mohammad Rafiqul Islam"/>
        <s v="Md. Sharif Sarker"/>
        <s v="Md. Habibur Rahman Siddique"/>
        <s v="Md. Humayun Kobir"/>
        <s v="Moniruzzaman"/>
        <s v="Mahbub Alam"/>
        <s v="Md. Shahidul Islam"/>
        <s v="Mohammad Kamruzzaman Noman"/>
        <s v="Md. Mahmudul Hasan"/>
        <s v="Tariqul Islam"/>
        <s v="Chitta Ranjan Saha"/>
        <s v="Md. Ashiqur Rahman"/>
        <s v="Md. Hemaet Ullah"/>
        <s v="Azmul Karim"/>
        <s v="Abdur Rahman "/>
        <s v="Mohammad Tofajjal Hossain"/>
        <s v="Md. Tyoubur Rahman"/>
        <s v="Md. Ashraful Alam"/>
        <s v="Md. Hasan Uzzaman"/>
        <s v="Md. Hasibul Huda"/>
        <s v="Atekur Rahman Nayim"/>
        <s v="Gazi Fayshal Ahmed"/>
        <s v="Md. Zahidur Rahman"/>
        <s v="Abrar Rahman Siam"/>
        <s v="Md. Arafat Hossain"/>
        <s v="Muhammad Zakir Hossain"/>
        <s v="Md. Johan Islam"/>
        <s v="Md. Emran Hossain Khan"/>
        <s v="Md. Syed Mizanul Huq"/>
        <s v="Asif Wares Khan"/>
        <s v="Md. Kamal Hossain"/>
        <s v="Abu Saleh Md Musa"/>
        <s v="Md. Asad Ullah"/>
        <s v="Daud Bin Jafar"/>
        <s v="Md. Zakir Hossain"/>
        <s v="Md. Arfatul Islam Tanjil"/>
        <s v="Md. Mahedi Hasan"/>
        <s v="Md. Hafijur Rahman"/>
        <s v="Md. Sahed Ahmed"/>
        <s v="Sohel Mahmud"/>
        <s v="All Imran Khan"/>
        <s v="Ahmed Shadman Raihan"/>
        <s v="Muhammad Ashraful Alam"/>
        <s v="Mohammad Mehedi Hasan"/>
        <s v="S.M. Mahdi Hasan"/>
        <s v="Md. Shohidulla Hassan"/>
        <s v="Md. Mizanur Rahman"/>
        <s v="Shamsuzzaman"/>
      </sharedItems>
    </cacheField>
    <cacheField name="DOJ" numFmtId="0">
      <sharedItems containsNonDate="0" containsString="0" containsBlank="1"/>
    </cacheField>
    <cacheField name="Employment" numFmtId="164">
      <sharedItems containsBlank="1"/>
    </cacheField>
    <cacheField name="Business_Unit_20" numFmtId="164">
      <sharedItems containsBlank="1" count="3">
        <s v="BTL/KYL"/>
        <m/>
        <s v="Pioneer Denim Limited"/>
      </sharedItems>
    </cacheField>
    <cacheField name="Department_20" numFmtId="164">
      <sharedItems containsBlank="1" count="18">
        <s v="Administration"/>
        <s v="Audit"/>
        <s v="Commercial"/>
        <s v="Estate &amp; Legal"/>
        <s v="Export Import Audit"/>
        <s v="Finance &amp; Accounts"/>
        <s v="Import"/>
        <s v="Information Technology"/>
        <s v="Marketing &amp; Sales"/>
        <s v="Procurement"/>
        <s v="Protocol"/>
        <s v="Transport"/>
        <s v="Utility"/>
        <m/>
        <s v="Costing"/>
        <s v="Customs"/>
        <s v="Marketing"/>
        <s v="Planning &amp; Coordination"/>
      </sharedItems>
    </cacheField>
    <cacheField name="Position_20" numFmtId="0">
      <sharedItems containsBlank="1" count="43">
        <s v="?"/>
        <s v="Receptionist"/>
        <s v="Peon"/>
        <s v="Cleaner"/>
        <s v="Cook"/>
        <s v="Asst. Cook"/>
        <s v="Receiptionist"/>
        <s v="Manager"/>
        <s v="Security"/>
        <s v="Head of Administration"/>
        <s v="Head of Audit"/>
        <s v="Sr. Executive"/>
        <s v="Audit Assistant"/>
        <s v="Executive"/>
        <s v="Incharge"/>
        <s v="Jr. Officer"/>
        <s v="Trainee Officer"/>
        <s v="Jr. Executive"/>
        <s v="General Manager"/>
        <s v="Officer"/>
        <s v="Assistant Manager"/>
        <s v="Head of Finance &amp; Accounts"/>
        <s v="CFO"/>
        <s v="Messenger"/>
        <s v="Deputy General Manager"/>
        <s v="Head of Marketing"/>
        <s v="Head of Marketing - Woven"/>
        <s v="Head of Marketing - North"/>
        <s v="Head of Marketing - Middle"/>
        <s v="Head of Marketing - South"/>
        <s v="Head of Procurement"/>
        <s v="Driver"/>
        <s v="Lift Man"/>
        <s v="Electrician"/>
        <m/>
        <s v="Head of Costing"/>
        <s v="Head of IT"/>
        <s v="Software Engineer"/>
        <s v="RM"/>
        <s v="JRM"/>
        <s v="ARM"/>
        <s v="Sr. Officer"/>
        <s v="Head of Planning"/>
      </sharedItems>
    </cacheField>
    <cacheField name="Previous Salary" numFmtId="0">
      <sharedItems containsString="0" containsBlank="1" containsNumber="1" containsInteger="1" minValue="8000" maxValue="3687000"/>
    </cacheField>
    <cacheField name="Increment_20" numFmtId="0">
      <sharedItems containsString="0" containsBlank="1" containsNumber="1" minValue="0" maxValue="391000"/>
    </cacheField>
    <cacheField name="Promotion_20" numFmtId="0">
      <sharedItems containsNonDate="0" containsString="0" containsBlank="1"/>
    </cacheField>
    <cacheField name="Perc_20" numFmtId="10">
      <sharedItems containsString="0" containsBlank="1" containsNumber="1" minValue="0" maxValue="0.66666666666666663"/>
    </cacheField>
    <cacheField name="Salary_20" numFmtId="164">
      <sharedItems containsString="0" containsBlank="1" containsNumber="1" containsInteger="1" minValue="11000" maxValue="4078000"/>
    </cacheField>
    <cacheField name="Remarks_2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m/>
    <n v="9000"/>
    <s v="Active"/>
    <x v="0"/>
    <x v="0"/>
    <s v="Manager"/>
    <x v="0"/>
    <m/>
    <n v="102000"/>
    <m/>
    <s v="Active"/>
    <s v="BTL/KYL"/>
    <s v="Marketing &amp; Sales"/>
    <s v="Head of Marketing &amp; Sales"/>
    <n v="48000"/>
    <m/>
    <n v="150000"/>
    <s v="AE: 25k, SP: 23k"/>
    <s v="Active"/>
    <s v="BTL/KYL"/>
    <s v="Marketing &amp; Sales"/>
    <s v="Head of Marketing"/>
    <n v="150000"/>
    <n v="25000"/>
    <m/>
    <n v="175000"/>
    <m/>
  </r>
  <r>
    <x v="1"/>
    <x v="1"/>
    <m/>
    <n v="5000"/>
    <s v="Active"/>
    <x v="0"/>
    <x v="0"/>
    <s v="Manager"/>
    <x v="0"/>
    <m/>
    <n v="100000"/>
    <m/>
    <s v="Active"/>
    <s v="BTL/KYL"/>
    <s v="Marketing &amp; Sales"/>
    <s v="Head of Marketing (Rotor)"/>
    <n v="20000"/>
    <m/>
    <n v="120000"/>
    <m/>
    <s v="Active"/>
    <s v="BTL/KYL"/>
    <s v="Marketing &amp; Sales"/>
    <s v="Head of Marketing - Woven"/>
    <n v="120000"/>
    <n v="25000"/>
    <m/>
    <n v="145000"/>
    <m/>
  </r>
  <r>
    <x v="2"/>
    <x v="2"/>
    <m/>
    <n v="3000"/>
    <s v="Active"/>
    <x v="0"/>
    <x v="0"/>
    <s v="Manager"/>
    <x v="0"/>
    <m/>
    <n v="100000"/>
    <m/>
    <s v="Active"/>
    <s v="BTL/KYL"/>
    <s v="Marketing &amp; Sales"/>
    <s v="Head of Marketing (North Zone)"/>
    <n v="20000"/>
    <m/>
    <n v="120000"/>
    <m/>
    <s v="Active"/>
    <s v="BTL/KYL"/>
    <s v="Marketing &amp; Sales"/>
    <s v="Head of Marketing - North"/>
    <n v="120000"/>
    <n v="25000"/>
    <m/>
    <n v="145000"/>
    <m/>
  </r>
  <r>
    <x v="3"/>
    <x v="3"/>
    <m/>
    <n v="10000"/>
    <s v="Active"/>
    <x v="0"/>
    <x v="0"/>
    <s v="Manager"/>
    <x v="0"/>
    <m/>
    <n v="90000"/>
    <m/>
    <s v="Active"/>
    <s v="BTL/KYL"/>
    <s v="Marketing &amp; Sales"/>
    <s v="Head of Marketing (Middle Zone)"/>
    <n v="20000"/>
    <m/>
    <n v="110000"/>
    <m/>
    <s v="Active"/>
    <s v="BTL/KYL"/>
    <s v="Marketing &amp; Sales"/>
    <s v="Head of Marketing - Middle"/>
    <n v="110000"/>
    <n v="40000"/>
    <m/>
    <n v="150000"/>
    <m/>
  </r>
  <r>
    <x v="4"/>
    <x v="4"/>
    <m/>
    <n v="5000"/>
    <s v="Active"/>
    <x v="0"/>
    <x v="0"/>
    <s v="Assistant Manager"/>
    <x v="1"/>
    <m/>
    <n v="60000"/>
    <m/>
    <s v="Active"/>
    <s v="BTL/KYL"/>
    <s v="Marketing &amp; Sales"/>
    <s v="Assistant Manager"/>
    <n v="10000"/>
    <m/>
    <n v="70000"/>
    <m/>
    <s v="Inactive"/>
    <m/>
    <m/>
    <m/>
    <m/>
    <m/>
    <m/>
    <n v="70000"/>
    <m/>
  </r>
  <r>
    <x v="5"/>
    <x v="5"/>
    <m/>
    <n v="0"/>
    <s v="Active"/>
    <x v="0"/>
    <x v="0"/>
    <s v="Assistant Manager"/>
    <x v="2"/>
    <m/>
    <n v="54000"/>
    <m/>
    <s v="Active"/>
    <s v="BTL/KYL"/>
    <s v="Marketing &amp; Sales"/>
    <s v="Assistant Manager"/>
    <n v="4000"/>
    <m/>
    <n v="58000"/>
    <m/>
    <s v="Active"/>
    <s v="BTL/KYL"/>
    <s v="Marketing &amp; Sales"/>
    <s v="Assistant Manager"/>
    <n v="58000"/>
    <n v="10000"/>
    <m/>
    <n v="68000"/>
    <m/>
  </r>
  <r>
    <x v="6"/>
    <x v="6"/>
    <m/>
    <n v="4000"/>
    <s v="Active"/>
    <x v="0"/>
    <x v="0"/>
    <s v="Assistant Manager"/>
    <x v="1"/>
    <m/>
    <n v="45000"/>
    <m/>
    <s v="Active"/>
    <s v="BTL/KYL"/>
    <s v="Marketing &amp; Sales"/>
    <s v="Assistant Manager"/>
    <n v="5000"/>
    <m/>
    <n v="50000"/>
    <m/>
    <s v="Active"/>
    <s v="BTL/KYL"/>
    <s v="Marketing &amp; Sales"/>
    <s v="Assistant Manager"/>
    <n v="50000"/>
    <n v="10000"/>
    <m/>
    <n v="60000"/>
    <m/>
  </r>
  <r>
    <x v="7"/>
    <x v="7"/>
    <m/>
    <n v="7000"/>
    <s v="Active"/>
    <x v="0"/>
    <x v="0"/>
    <s v="Assistant Manager"/>
    <x v="3"/>
    <m/>
    <n v="62000"/>
    <m/>
    <s v="Inactive"/>
    <m/>
    <m/>
    <m/>
    <m/>
    <m/>
    <n v="62000"/>
    <m/>
    <s v="Inactive"/>
    <m/>
    <m/>
    <m/>
    <m/>
    <m/>
    <m/>
    <n v="62000"/>
    <m/>
  </r>
  <r>
    <x v="8"/>
    <x v="8"/>
    <m/>
    <n v="2000"/>
    <s v="Active"/>
    <x v="0"/>
    <x v="0"/>
    <s v="Assistant Manager"/>
    <x v="4"/>
    <m/>
    <n v="35000"/>
    <m/>
    <s v="Active"/>
    <s v="BTL/KYL"/>
    <s v="Marketing &amp; Sales"/>
    <s v="?"/>
    <n v="0"/>
    <m/>
    <n v="35000"/>
    <m/>
    <s v="Inactive"/>
    <m/>
    <m/>
    <m/>
    <m/>
    <m/>
    <m/>
    <n v="35000"/>
    <m/>
  </r>
  <r>
    <x v="9"/>
    <x v="9"/>
    <m/>
    <n v="0"/>
    <s v="Active"/>
    <x v="0"/>
    <x v="1"/>
    <s v="Head of Finance &amp; Accounts"/>
    <x v="5"/>
    <m/>
    <n v="180000"/>
    <m/>
    <s v="Active"/>
    <s v="BTL/KYL"/>
    <s v="Finance &amp; Accounts"/>
    <s v="Head of Finance &amp; Accounts"/>
    <n v="5000"/>
    <m/>
    <n v="185000"/>
    <m/>
    <s v="Active"/>
    <s v="BTL/KYL"/>
    <s v="Finance &amp; Accounts"/>
    <s v="Head of Finance &amp; Accounts"/>
    <n v="185000"/>
    <n v="15000"/>
    <m/>
    <n v="200000"/>
    <m/>
  </r>
  <r>
    <x v="10"/>
    <x v="10"/>
    <m/>
    <n v="0"/>
    <s v="Active"/>
    <x v="0"/>
    <x v="1"/>
    <s v="Manager"/>
    <x v="1"/>
    <m/>
    <n v="105000"/>
    <m/>
    <s v="Active"/>
    <s v="BTL/KYL"/>
    <s v="Finance &amp; Accounts"/>
    <s v="Manager"/>
    <n v="5000"/>
    <m/>
    <n v="110000"/>
    <m/>
    <s v="Active"/>
    <s v="BTL/KYL"/>
    <s v="Finance &amp; Accounts"/>
    <s v="Manager"/>
    <n v="110000"/>
    <n v="15000"/>
    <m/>
    <n v="125000"/>
    <m/>
  </r>
  <r>
    <x v="11"/>
    <x v="11"/>
    <m/>
    <n v="0"/>
    <s v="Active"/>
    <x v="0"/>
    <x v="1"/>
    <s v="Assistant Manager"/>
    <x v="3"/>
    <m/>
    <n v="67000"/>
    <m/>
    <s v="Active"/>
    <s v="BTL/KYL"/>
    <s v="Finance &amp; Accounts"/>
    <s v="Assistant Manager"/>
    <n v="3000"/>
    <m/>
    <n v="70000"/>
    <m/>
    <s v="Active"/>
    <s v="Pioneer Denim Limited"/>
    <s v="Finance &amp; Accounts"/>
    <s v="Assistant Manager"/>
    <n v="70000"/>
    <n v="10000"/>
    <m/>
    <n v="80000"/>
    <m/>
  </r>
  <r>
    <x v="12"/>
    <x v="12"/>
    <m/>
    <n v="4000"/>
    <s v="Active"/>
    <x v="0"/>
    <x v="1"/>
    <s v="Executive"/>
    <x v="4"/>
    <s v="Sr. Executive"/>
    <n v="47000"/>
    <m/>
    <s v="Active"/>
    <s v="BTL/KYL"/>
    <s v="Finance &amp; Accounts"/>
    <s v="Senior Executive"/>
    <n v="3000"/>
    <m/>
    <n v="50000"/>
    <m/>
    <s v="Active"/>
    <s v="BTL/KYL"/>
    <s v="Finance &amp; Accounts"/>
    <s v="Sr. Executive"/>
    <n v="50000"/>
    <n v="5000"/>
    <m/>
    <n v="55000"/>
    <m/>
  </r>
  <r>
    <x v="13"/>
    <x v="13"/>
    <m/>
    <n v="0"/>
    <s v="Active"/>
    <x v="0"/>
    <x v="1"/>
    <s v="Officer"/>
    <x v="3"/>
    <s v="Executive"/>
    <n v="35000"/>
    <m/>
    <s v="Active"/>
    <s v="BTL/KYL"/>
    <s v="Finance &amp; Accounts"/>
    <s v="Executive"/>
    <n v="5000"/>
    <m/>
    <n v="40000"/>
    <m/>
    <s v="Active"/>
    <s v="BTL/KYL"/>
    <s v="Finance &amp; Accounts"/>
    <s v="Sr. Executive"/>
    <n v="40000"/>
    <n v="12000"/>
    <m/>
    <n v="52000"/>
    <m/>
  </r>
  <r>
    <x v="14"/>
    <x v="14"/>
    <m/>
    <n v="0"/>
    <s v="Active"/>
    <x v="0"/>
    <x v="1"/>
    <s v="Officer"/>
    <x v="3"/>
    <s v="Executive"/>
    <n v="33000"/>
    <m/>
    <s v="Active"/>
    <s v="BTL/KYL"/>
    <s v="Finance &amp; Accounts"/>
    <s v="Executive"/>
    <n v="5000"/>
    <m/>
    <n v="38000"/>
    <m/>
    <s v="Active"/>
    <s v="BTL/KYL"/>
    <s v="Finance &amp; Accounts"/>
    <s v="Sr. Executive"/>
    <n v="38000"/>
    <n v="12000"/>
    <m/>
    <n v="50000"/>
    <m/>
  </r>
  <r>
    <x v="15"/>
    <x v="15"/>
    <m/>
    <n v="1000"/>
    <s v="Active"/>
    <x v="0"/>
    <x v="1"/>
    <s v="Executive"/>
    <x v="6"/>
    <m/>
    <n v="46000"/>
    <m/>
    <s v="Active"/>
    <s v="BTL/KYL"/>
    <s v="Finance &amp; Accounts"/>
    <s v="Executive"/>
    <n v="4000"/>
    <m/>
    <n v="50000"/>
    <m/>
    <s v="Active"/>
    <s v="BTL/KYL"/>
    <s v="Finance &amp; Accounts"/>
    <s v="Executive"/>
    <n v="50000"/>
    <n v="5000"/>
    <m/>
    <n v="55000"/>
    <m/>
  </r>
  <r>
    <x v="16"/>
    <x v="16"/>
    <m/>
    <n v="1000"/>
    <s v="Active"/>
    <x v="0"/>
    <x v="1"/>
    <s v="Jr. Officer"/>
    <x v="4"/>
    <s v="Officer"/>
    <n v="33000"/>
    <m/>
    <s v="Active"/>
    <s v="BTL/KYL"/>
    <s v="Finance &amp; Accounts"/>
    <s v="Officer"/>
    <n v="5000"/>
    <m/>
    <n v="38000"/>
    <m/>
    <s v="Active"/>
    <s v="BTL/KYL"/>
    <s v="Finance &amp; Accounts"/>
    <s v="Officer"/>
    <n v="38000"/>
    <n v="4000"/>
    <m/>
    <n v="42000"/>
    <m/>
  </r>
  <r>
    <x v="17"/>
    <x v="17"/>
    <m/>
    <n v="3000"/>
    <s v="Active"/>
    <x v="0"/>
    <x v="1"/>
    <s v="Jr. Executive"/>
    <x v="7"/>
    <s v="Officer"/>
    <n v="36000"/>
    <m/>
    <s v="Active"/>
    <s v="BTL/KYL"/>
    <s v="Finance &amp; Accounts"/>
    <s v="Officer"/>
    <n v="5000"/>
    <m/>
    <n v="41000"/>
    <m/>
    <s v="Active"/>
    <s v="BTL/KYL"/>
    <s v="Finance &amp; Accounts"/>
    <s v="Officer"/>
    <n v="41000"/>
    <n v="9000"/>
    <m/>
    <n v="50000"/>
    <m/>
  </r>
  <r>
    <x v="18"/>
    <x v="18"/>
    <m/>
    <n v="3000"/>
    <s v="Active"/>
    <x v="0"/>
    <x v="1"/>
    <s v="Jr. Officer"/>
    <x v="4"/>
    <m/>
    <n v="30000"/>
    <m/>
    <s v="Active"/>
    <s v="BTL/KYL"/>
    <s v="Finance &amp; Accounts"/>
    <s v="Jr. Officer"/>
    <n v="3000"/>
    <m/>
    <n v="33000"/>
    <m/>
    <s v="Active"/>
    <s v="BTL/KYL"/>
    <s v="Finance &amp; Accounts"/>
    <s v="Jr. Officer"/>
    <n v="33000"/>
    <n v="7000"/>
    <m/>
    <n v="40000"/>
    <m/>
  </r>
  <r>
    <x v="19"/>
    <x v="19"/>
    <m/>
    <n v="5000"/>
    <s v="Active"/>
    <x v="0"/>
    <x v="1"/>
    <s v="Executive"/>
    <x v="8"/>
    <m/>
    <n v="26000"/>
    <m/>
    <s v="Active"/>
    <s v="BTL/KYL"/>
    <s v="Finance &amp; Accounts"/>
    <s v="Executive"/>
    <n v="6000"/>
    <m/>
    <n v="32000"/>
    <m/>
    <s v="Active"/>
    <s v="BTL/KYL"/>
    <s v="Finance &amp; Accounts"/>
    <s v="Executive"/>
    <n v="32000"/>
    <n v="8000"/>
    <m/>
    <n v="40000"/>
    <m/>
  </r>
  <r>
    <x v="20"/>
    <x v="20"/>
    <m/>
    <n v="0"/>
    <s v="Active"/>
    <x v="0"/>
    <x v="1"/>
    <s v="Executive"/>
    <x v="1"/>
    <m/>
    <n v="25000"/>
    <s v="Special 5,000"/>
    <s v="Active"/>
    <s v="BTL/KYL"/>
    <s v="Finance &amp; Accounts"/>
    <s v="Executive"/>
    <n v="5000"/>
    <m/>
    <n v="30000"/>
    <m/>
    <s v="Active"/>
    <s v="BTL/KYL"/>
    <s v="Finance &amp; Accounts"/>
    <s v="Executive"/>
    <n v="30000"/>
    <n v="7000"/>
    <m/>
    <n v="37000"/>
    <m/>
  </r>
  <r>
    <x v="21"/>
    <x v="21"/>
    <m/>
    <n v="8000"/>
    <s v="Active"/>
    <x v="0"/>
    <x v="1"/>
    <s v="Trainee Officer"/>
    <x v="4"/>
    <s v="Jr. Officer"/>
    <n v="23000"/>
    <m/>
    <s v="Inactive"/>
    <m/>
    <m/>
    <m/>
    <m/>
    <m/>
    <n v="23000"/>
    <s v="Transferred"/>
    <s v="Inactive"/>
    <m/>
    <m/>
    <m/>
    <n v="0"/>
    <m/>
    <m/>
    <m/>
    <m/>
  </r>
  <r>
    <x v="22"/>
    <x v="22"/>
    <m/>
    <n v="0"/>
    <s v="Active"/>
    <x v="0"/>
    <x v="1"/>
    <s v="Trainee Officer"/>
    <x v="6"/>
    <m/>
    <n v="20000"/>
    <s v="Special 3,000"/>
    <s v="Active"/>
    <s v="BTL/KYL"/>
    <s v="Finance &amp; Accounts"/>
    <s v="Officer"/>
    <n v="3000"/>
    <m/>
    <n v="23000"/>
    <m/>
    <s v="Active"/>
    <s v="BTL/KYL"/>
    <s v="Finance &amp; Accounts"/>
    <s v="Officer"/>
    <n v="23000"/>
    <n v="7000"/>
    <m/>
    <n v="30000"/>
    <m/>
  </r>
  <r>
    <x v="23"/>
    <x v="23"/>
    <m/>
    <m/>
    <s v="Active"/>
    <x v="0"/>
    <x v="1"/>
    <s v="Officer"/>
    <x v="6"/>
    <s v="-"/>
    <n v="18000"/>
    <s v="Special 3,000"/>
    <s v="Active"/>
    <s v="BTL/KYL"/>
    <s v="Finance &amp; Accounts"/>
    <s v="Officer"/>
    <n v="5000"/>
    <m/>
    <n v="23000"/>
    <m/>
    <s v="Active"/>
    <s v="BTL/KYL"/>
    <s v="Finance &amp; Accounts"/>
    <s v="Officer"/>
    <n v="23000"/>
    <n v="7000"/>
    <m/>
    <n v="30000"/>
    <m/>
  </r>
  <r>
    <x v="24"/>
    <x v="24"/>
    <m/>
    <n v="0"/>
    <s v="Active"/>
    <x v="0"/>
    <x v="2"/>
    <s v="Head of Audit"/>
    <x v="5"/>
    <m/>
    <n v="150000"/>
    <m/>
    <s v="Active"/>
    <s v="BTL/KYL"/>
    <s v="Audit"/>
    <s v="Head of Audit"/>
    <n v="5000"/>
    <m/>
    <n v="155000"/>
    <m/>
    <s v="Active"/>
    <s v="BTL/KYL"/>
    <s v="Audit"/>
    <s v="Head of Audit"/>
    <n v="155000"/>
    <n v="15000"/>
    <m/>
    <n v="170000"/>
    <m/>
  </r>
  <r>
    <x v="25"/>
    <x v="25"/>
    <m/>
    <n v="0"/>
    <s v="Active"/>
    <x v="0"/>
    <x v="2"/>
    <s v="Sr. Executive"/>
    <x v="1"/>
    <m/>
    <n v="61000"/>
    <m/>
    <s v="Active"/>
    <s v="BTL/KYL"/>
    <s v="Audit"/>
    <s v="Sr. Executive"/>
    <n v="5000"/>
    <m/>
    <n v="66000"/>
    <m/>
    <s v="Active"/>
    <s v="BTL/KYL"/>
    <s v="Audit"/>
    <s v="Sr. Executive"/>
    <n v="66000"/>
    <n v="12000"/>
    <m/>
    <n v="78000"/>
    <m/>
  </r>
  <r>
    <x v="26"/>
    <x v="26"/>
    <m/>
    <n v="0"/>
    <s v="Active"/>
    <x v="0"/>
    <x v="2"/>
    <s v="Sr. Executive"/>
    <x v="1"/>
    <m/>
    <n v="45000"/>
    <m/>
    <s v="Active"/>
    <s v="BTL/KYL"/>
    <s v="Audit"/>
    <s v="Sr. Executive"/>
    <n v="5000"/>
    <m/>
    <n v="50000"/>
    <m/>
    <s v="Active"/>
    <s v="BTL/KYL"/>
    <s v="Audit"/>
    <s v="Sr. Executive"/>
    <n v="50000"/>
    <n v="10000"/>
    <m/>
    <n v="60000"/>
    <m/>
  </r>
  <r>
    <x v="27"/>
    <x v="27"/>
    <m/>
    <n v="0"/>
    <s v="Active"/>
    <x v="0"/>
    <x v="2"/>
    <s v="Sr. Officer"/>
    <x v="7"/>
    <m/>
    <n v="30000"/>
    <m/>
    <s v="Active"/>
    <s v="BTL/KYL"/>
    <s v="Audit"/>
    <s v="Sr. Executive"/>
    <n v="4000"/>
    <m/>
    <n v="34000"/>
    <m/>
    <s v="Active"/>
    <s v="BTL/KYL"/>
    <s v="Audit"/>
    <s v="Sr. Executive"/>
    <n v="34000"/>
    <n v="10000"/>
    <m/>
    <n v="44000"/>
    <m/>
  </r>
  <r>
    <x v="28"/>
    <x v="28"/>
    <m/>
    <n v="5000"/>
    <s v="Active"/>
    <x v="0"/>
    <x v="2"/>
    <s v="Executive"/>
    <x v="1"/>
    <m/>
    <n v="40000"/>
    <m/>
    <s v="Inactive"/>
    <s v="Inactive"/>
    <s v="Inactive"/>
    <s v="Inactive"/>
    <n v="0"/>
    <s v="Inactive"/>
    <n v="0"/>
    <m/>
    <s v="Inactive"/>
    <m/>
    <m/>
    <m/>
    <n v="0"/>
    <m/>
    <m/>
    <n v="0"/>
    <m/>
  </r>
  <r>
    <x v="29"/>
    <x v="29"/>
    <m/>
    <n v="7000"/>
    <s v="Active"/>
    <x v="0"/>
    <x v="3"/>
    <s v="Executive"/>
    <x v="3"/>
    <m/>
    <n v="42000"/>
    <m/>
    <s v="Active"/>
    <s v="BTL/KYL"/>
    <s v="Export Import Audit"/>
    <s v="Asst. Manager"/>
    <n v="5000"/>
    <m/>
    <n v="47000"/>
    <m/>
    <s v="Active"/>
    <s v="BTL/KYL"/>
    <s v="Export Import Audit"/>
    <s v="Assistant Manager"/>
    <n v="47000"/>
    <n v="23000"/>
    <m/>
    <n v="70000"/>
    <m/>
  </r>
  <r>
    <x v="30"/>
    <x v="30"/>
    <m/>
    <n v="1000"/>
    <s v="Active"/>
    <x v="0"/>
    <x v="3"/>
    <s v="Jr. Officer"/>
    <x v="4"/>
    <m/>
    <n v="33000"/>
    <m/>
    <s v="Active"/>
    <s v="BTL/KYL"/>
    <s v="Export Import Audit"/>
    <s v="Sr. Executive"/>
    <n v="3000"/>
    <m/>
    <n v="36000"/>
    <m/>
    <s v="Active"/>
    <s v="BTL/KYL"/>
    <s v="Export Import Audit"/>
    <s v="Sr. Executive"/>
    <n v="36000"/>
    <n v="4000"/>
    <m/>
    <n v="40000"/>
    <m/>
  </r>
  <r>
    <x v="31"/>
    <x v="31"/>
    <m/>
    <n v="0"/>
    <s v="Active"/>
    <x v="0"/>
    <x v="3"/>
    <s v="Trainee Officer"/>
    <x v="4"/>
    <m/>
    <n v="20000"/>
    <m/>
    <s v="Active"/>
    <s v="BTL/KYL"/>
    <s v="Export Import Audit"/>
    <s v="Executive"/>
    <n v="5000"/>
    <m/>
    <n v="25000"/>
    <m/>
    <s v="Active"/>
    <s v="BTL/KYL"/>
    <s v="Export Import Audit"/>
    <s v="Executive"/>
    <n v="25000"/>
    <n v="5000"/>
    <m/>
    <n v="30000"/>
    <m/>
  </r>
  <r>
    <x v="32"/>
    <x v="32"/>
    <m/>
    <n v="4000"/>
    <s v="Active"/>
    <x v="0"/>
    <x v="3"/>
    <s v="Officer"/>
    <x v="3"/>
    <m/>
    <n v="25000"/>
    <m/>
    <s v="Active"/>
    <s v="BTL/KYL"/>
    <s v="Export Import Audit"/>
    <s v="Sr. Executive"/>
    <n v="5000"/>
    <m/>
    <n v="30000"/>
    <m/>
    <s v="Active"/>
    <s v="BTL/KYL"/>
    <s v="Export Import Audit"/>
    <s v="Sr. Executive"/>
    <n v="30000"/>
    <n v="7000"/>
    <m/>
    <n v="37000"/>
    <m/>
  </r>
  <r>
    <x v="33"/>
    <x v="33"/>
    <m/>
    <n v="0"/>
    <s v="Inactive"/>
    <x v="1"/>
    <x v="4"/>
    <s v="Inactive"/>
    <x v="5"/>
    <s v="Inactive"/>
    <n v="0"/>
    <s v="Inactive"/>
    <s v="Active"/>
    <s v="BTL/KYL"/>
    <s v="Import"/>
    <s v="Deputy General Manager"/>
    <n v="10000"/>
    <m/>
    <n v="110000"/>
    <m/>
    <s v="Active"/>
    <s v="BTL/KYL"/>
    <s v="Import"/>
    <s v="Deputy General Manager"/>
    <n v="110000"/>
    <n v="30000"/>
    <m/>
    <n v="140000"/>
    <m/>
  </r>
  <r>
    <x v="34"/>
    <x v="34"/>
    <m/>
    <n v="2000"/>
    <s v="Active"/>
    <x v="0"/>
    <x v="5"/>
    <s v="Incharge"/>
    <x v="4"/>
    <m/>
    <n v="65000"/>
    <m/>
    <s v="Active"/>
    <s v="BTL/KYL"/>
    <s v="Import"/>
    <s v="Incharge"/>
    <n v="5000"/>
    <m/>
    <n v="70000"/>
    <m/>
    <s v="Active"/>
    <s v="BTL/KYL"/>
    <s v="Import"/>
    <s v="Incharge"/>
    <n v="70000"/>
    <n v="20000"/>
    <m/>
    <n v="90000"/>
    <m/>
  </r>
  <r>
    <x v="35"/>
    <x v="35"/>
    <m/>
    <n v="1000"/>
    <s v="Active"/>
    <x v="0"/>
    <x v="5"/>
    <s v="Executive"/>
    <x v="4"/>
    <m/>
    <n v="40000"/>
    <m/>
    <s v="Active"/>
    <s v="Pioneer Denim Limited"/>
    <s v="Import"/>
    <s v="Assistant Manager"/>
    <n v="6000"/>
    <m/>
    <n v="46000"/>
    <m/>
    <s v="Active"/>
    <s v="Pioneer Denim Limited"/>
    <s v="Import"/>
    <s v="Assistant Manager"/>
    <n v="46000"/>
    <n v="14000"/>
    <m/>
    <n v="60000"/>
    <m/>
  </r>
  <r>
    <x v="36"/>
    <x v="36"/>
    <m/>
    <n v="0"/>
    <s v="Active"/>
    <x v="0"/>
    <x v="5"/>
    <s v="Trainee Officer"/>
    <x v="1"/>
    <m/>
    <n v="20000"/>
    <m/>
    <s v="Active"/>
    <s v="BTL/KYL"/>
    <s v="Import"/>
    <s v="Trainee Officer"/>
    <n v="6000"/>
    <m/>
    <n v="26000"/>
    <m/>
    <s v="Active"/>
    <s v="BTL/KYL"/>
    <s v="Import"/>
    <s v="Trainee Officer"/>
    <n v="26000"/>
    <n v="9000"/>
    <m/>
    <n v="35000"/>
    <m/>
  </r>
  <r>
    <x v="37"/>
    <x v="37"/>
    <m/>
    <n v="1000"/>
    <s v="Active"/>
    <x v="0"/>
    <x v="6"/>
    <s v="Head of Procurement"/>
    <x v="4"/>
    <m/>
    <n v="84000"/>
    <m/>
    <s v="Active"/>
    <s v="BTL/KYL"/>
    <s v="Procurement"/>
    <s v="Head of Procurement"/>
    <n v="6000"/>
    <m/>
    <n v="90000"/>
    <m/>
    <s v="Active"/>
    <s v="BTL/KYL"/>
    <s v="Procurement"/>
    <s v="Head of Procurement"/>
    <n v="90000"/>
    <n v="10000"/>
    <m/>
    <n v="100000"/>
    <m/>
  </r>
  <r>
    <x v="38"/>
    <x v="38"/>
    <m/>
    <n v="0"/>
    <s v="Active"/>
    <x v="0"/>
    <x v="6"/>
    <s v="?"/>
    <x v="4"/>
    <m/>
    <n v="18000"/>
    <m/>
    <s v="Inactive"/>
    <m/>
    <m/>
    <m/>
    <m/>
    <m/>
    <n v="0"/>
    <m/>
    <s v="Inactive"/>
    <m/>
    <m/>
    <m/>
    <n v="0"/>
    <m/>
    <m/>
    <m/>
    <m/>
  </r>
  <r>
    <x v="39"/>
    <x v="39"/>
    <m/>
    <n v="1000"/>
    <s v="Active"/>
    <x v="0"/>
    <x v="6"/>
    <s v="Executive"/>
    <x v="4"/>
    <m/>
    <n v="34000"/>
    <m/>
    <s v="Active"/>
    <s v="BTL/KYL"/>
    <s v="Procurement"/>
    <s v="Executive"/>
    <n v="3000"/>
    <m/>
    <n v="37000"/>
    <m/>
    <s v="Active"/>
    <s v="BTL/KYL"/>
    <s v="Procurement"/>
    <s v="Executive"/>
    <n v="37000"/>
    <n v="5000"/>
    <m/>
    <n v="42000"/>
    <m/>
  </r>
  <r>
    <x v="40"/>
    <x v="40"/>
    <m/>
    <n v="0"/>
    <s v="Active"/>
    <x v="0"/>
    <x v="6"/>
    <s v="Jr. Officer"/>
    <x v="7"/>
    <m/>
    <n v="22000"/>
    <m/>
    <s v="Active"/>
    <s v="BTL/KYL"/>
    <s v="Procurement"/>
    <s v="Jr. Officer"/>
    <n v="6000"/>
    <m/>
    <n v="28000"/>
    <m/>
    <s v="Active"/>
    <s v="BTL/KYL"/>
    <s v="Procurement"/>
    <s v="Jr. Officer"/>
    <n v="28000"/>
    <n v="6000"/>
    <m/>
    <n v="34000"/>
    <m/>
  </r>
  <r>
    <x v="41"/>
    <x v="41"/>
    <m/>
    <n v="2000"/>
    <s v="Active"/>
    <x v="0"/>
    <x v="6"/>
    <s v="Executive"/>
    <x v="9"/>
    <m/>
    <n v="28000"/>
    <m/>
    <s v="Active"/>
    <s v="BTL/KYL"/>
    <s v="Procurement"/>
    <s v="Executive"/>
    <n v="3000"/>
    <m/>
    <n v="31000"/>
    <m/>
    <s v="Active"/>
    <s v="BTL/KYL"/>
    <s v="Procurement"/>
    <s v="Executive"/>
    <n v="31000"/>
    <n v="5000"/>
    <m/>
    <n v="36000"/>
    <m/>
  </r>
  <r>
    <x v="42"/>
    <x v="42"/>
    <m/>
    <n v="1000"/>
    <s v="Active"/>
    <x v="0"/>
    <x v="6"/>
    <s v="Officer"/>
    <x v="4"/>
    <m/>
    <n v="32000"/>
    <m/>
    <s v="Active"/>
    <s v="BTL/KYL"/>
    <s v="Procurement"/>
    <s v="Officer"/>
    <n v="4000"/>
    <m/>
    <n v="36000"/>
    <m/>
    <s v="Active"/>
    <s v="BTL/KYL"/>
    <s v="Procurement"/>
    <s v="Officer"/>
    <n v="36000"/>
    <n v="5000"/>
    <m/>
    <n v="41000"/>
    <m/>
  </r>
  <r>
    <x v="43"/>
    <x v="43"/>
    <m/>
    <n v="0"/>
    <s v="Active"/>
    <x v="0"/>
    <x v="6"/>
    <s v="Assistant Officer"/>
    <x v="1"/>
    <m/>
    <n v="20000"/>
    <m/>
    <s v="Active"/>
    <s v="BTL/KYL"/>
    <s v="Audit"/>
    <s v="Asst. Officer"/>
    <n v="6000"/>
    <m/>
    <n v="26000"/>
    <m/>
    <s v="Active"/>
    <s v="BTL/KYL"/>
    <s v="Procurement"/>
    <s v="Sr. Executive"/>
    <n v="26000"/>
    <n v="5000"/>
    <m/>
    <n v="31000"/>
    <m/>
  </r>
  <r>
    <x v="44"/>
    <x v="44"/>
    <m/>
    <n v="0"/>
    <s v="Active"/>
    <x v="0"/>
    <x v="6"/>
    <s v="Trainee Officer"/>
    <x v="5"/>
    <m/>
    <n v="15000"/>
    <m/>
    <s v="Active"/>
    <s v="BTL/KYL"/>
    <s v="Procurement"/>
    <s v="Trainee Officer"/>
    <n v="5000"/>
    <m/>
    <n v="20000"/>
    <m/>
    <s v="Inactive"/>
    <m/>
    <m/>
    <m/>
    <n v="0"/>
    <m/>
    <m/>
    <m/>
    <m/>
  </r>
  <r>
    <x v="45"/>
    <x v="45"/>
    <m/>
    <n v="2000"/>
    <s v="Active"/>
    <x v="0"/>
    <x v="7"/>
    <s v="Officer"/>
    <x v="8"/>
    <m/>
    <n v="26000"/>
    <m/>
    <s v="Active"/>
    <s v="BTL/KYL"/>
    <s v="Information Technology"/>
    <s v="Officer"/>
    <n v="4000"/>
    <m/>
    <n v="30000"/>
    <m/>
    <s v="Active"/>
    <s v="BTL/KYL"/>
    <s v="Information Technology"/>
    <s v="Officer"/>
    <n v="30000"/>
    <n v="5000"/>
    <m/>
    <n v="35000"/>
    <m/>
  </r>
  <r>
    <x v="46"/>
    <x v="46"/>
    <m/>
    <m/>
    <s v="Active"/>
    <x v="0"/>
    <x v="7"/>
    <s v="Programmer"/>
    <x v="6"/>
    <m/>
    <n v="40000"/>
    <m/>
    <m/>
    <m/>
    <m/>
    <m/>
    <m/>
    <m/>
    <n v="40000"/>
    <s v="Transferred"/>
    <s v="Inactive"/>
    <m/>
    <m/>
    <m/>
    <n v="0"/>
    <m/>
    <m/>
    <m/>
    <m/>
  </r>
  <r>
    <x v="47"/>
    <x v="47"/>
    <m/>
    <n v="10000"/>
    <s v="Active"/>
    <x v="0"/>
    <x v="7"/>
    <s v="Programmer"/>
    <x v="4"/>
    <m/>
    <n v="40000"/>
    <m/>
    <m/>
    <m/>
    <m/>
    <m/>
    <m/>
    <m/>
    <n v="40000"/>
    <s v="Transferred"/>
    <s v="Inactive"/>
    <m/>
    <m/>
    <m/>
    <n v="0"/>
    <m/>
    <m/>
    <m/>
    <m/>
  </r>
  <r>
    <x v="48"/>
    <x v="48"/>
    <m/>
    <n v="0"/>
    <s v="Active"/>
    <x v="0"/>
    <x v="7"/>
    <s v="Executive"/>
    <x v="5"/>
    <m/>
    <n v="37000"/>
    <m/>
    <m/>
    <m/>
    <m/>
    <m/>
    <m/>
    <m/>
    <n v="37000"/>
    <m/>
    <s v="Inactive"/>
    <m/>
    <m/>
    <m/>
    <n v="0"/>
    <m/>
    <m/>
    <m/>
    <m/>
  </r>
  <r>
    <x v="49"/>
    <x v="49"/>
    <m/>
    <n v="2000"/>
    <s v="Active"/>
    <x v="0"/>
    <x v="8"/>
    <s v="Incharge"/>
    <x v="4"/>
    <m/>
    <n v="55000"/>
    <m/>
    <s v="Active"/>
    <s v="BTL/KYL"/>
    <s v="Commercial"/>
    <s v="Incharge"/>
    <n v="4000"/>
    <m/>
    <n v="59000"/>
    <m/>
    <s v="Active"/>
    <s v="BTL/KYL"/>
    <s v="Commercial"/>
    <s v="Incharge"/>
    <n v="59000"/>
    <n v="8000"/>
    <m/>
    <n v="67000"/>
    <m/>
  </r>
  <r>
    <x v="50"/>
    <x v="50"/>
    <m/>
    <n v="1000"/>
    <s v="Active"/>
    <x v="0"/>
    <x v="8"/>
    <s v="Sr. Executive"/>
    <x v="4"/>
    <m/>
    <n v="47000"/>
    <m/>
    <s v="Active"/>
    <s v="Pioneer Denim Limited"/>
    <s v="Commercial"/>
    <s v="Sr. Executive"/>
    <n v="5000"/>
    <m/>
    <n v="52000"/>
    <m/>
    <s v="Active"/>
    <s v="Pioneer Denim Limited"/>
    <s v="Commercial"/>
    <s v="Sr. Executive"/>
    <n v="52000"/>
    <n v="8000"/>
    <m/>
    <n v="60000"/>
    <m/>
  </r>
  <r>
    <x v="51"/>
    <x v="51"/>
    <m/>
    <n v="1000"/>
    <s v="Active"/>
    <x v="0"/>
    <x v="8"/>
    <s v="?"/>
    <x v="4"/>
    <s v="Jr. Officer"/>
    <n v="35000"/>
    <m/>
    <s v="Active"/>
    <s v="BTL/KYL"/>
    <s v="Commercial"/>
    <s v="Jr. Officer"/>
    <n v="6000"/>
    <m/>
    <n v="41000"/>
    <s v="AI: 3k, SP: 3k"/>
    <s v="Active"/>
    <s v="BTL/KYL"/>
    <s v="Commercial"/>
    <s v="Jr. Officer"/>
    <n v="41000"/>
    <n v="5000"/>
    <m/>
    <n v="46000"/>
    <m/>
  </r>
  <r>
    <x v="52"/>
    <x v="52"/>
    <m/>
    <n v="5000"/>
    <s v="Active"/>
    <x v="0"/>
    <x v="8"/>
    <s v="Jr. Officer"/>
    <x v="3"/>
    <m/>
    <n v="22000"/>
    <m/>
    <s v="Active"/>
    <s v="BTL/KYL"/>
    <s v="Commercial"/>
    <s v="Jr. Officer"/>
    <n v="5000"/>
    <m/>
    <n v="27000"/>
    <m/>
    <s v="Active"/>
    <s v="BTL/KYL"/>
    <s v="Commercial"/>
    <s v="Jr. Officer"/>
    <n v="27000"/>
    <n v="8000"/>
    <m/>
    <n v="35000"/>
    <m/>
  </r>
  <r>
    <x v="53"/>
    <x v="53"/>
    <m/>
    <n v="2000"/>
    <s v="Active"/>
    <x v="0"/>
    <x v="8"/>
    <s v="Executive"/>
    <x v="1"/>
    <m/>
    <n v="25000"/>
    <m/>
    <s v="Active"/>
    <s v="BTL/KYL"/>
    <s v="Commercial"/>
    <s v="Executive"/>
    <n v="4000"/>
    <m/>
    <n v="29000"/>
    <m/>
    <s v="Active"/>
    <s v="BTL/KYL"/>
    <s v="Commercial"/>
    <s v="Executive"/>
    <n v="29000"/>
    <n v="6000"/>
    <m/>
    <n v="35000"/>
    <m/>
  </r>
  <r>
    <x v="54"/>
    <x v="54"/>
    <m/>
    <n v="1000"/>
    <s v="Active"/>
    <x v="0"/>
    <x v="8"/>
    <s v="?"/>
    <x v="1"/>
    <s v="Jr. Officer"/>
    <n v="27000"/>
    <m/>
    <s v="Active"/>
    <s v="BTL/KYL"/>
    <s v="Commercial"/>
    <s v="Jr. Officer"/>
    <n v="5000"/>
    <m/>
    <n v="32000"/>
    <m/>
    <s v="Active"/>
    <s v="BTL/KYL"/>
    <s v="Commercial"/>
    <s v="Jr. Officer"/>
    <n v="32000"/>
    <n v="6000"/>
    <m/>
    <n v="38000"/>
    <m/>
  </r>
  <r>
    <x v="55"/>
    <x v="55"/>
    <m/>
    <n v="0"/>
    <s v="Active"/>
    <x v="0"/>
    <x v="8"/>
    <s v="Incharge"/>
    <x v="4"/>
    <m/>
    <n v="63000"/>
    <m/>
    <s v="Active"/>
    <s v="BTL/KYL"/>
    <s v="Commercial"/>
    <s v="Incharge"/>
    <n v="5000"/>
    <m/>
    <n v="68000"/>
    <m/>
    <s v="Active"/>
    <s v="BTL/KYL"/>
    <s v="Commercial"/>
    <s v="Incharge"/>
    <n v="68000"/>
    <n v="12000"/>
    <m/>
    <n v="80000"/>
    <m/>
  </r>
  <r>
    <x v="56"/>
    <x v="56"/>
    <m/>
    <n v="1000"/>
    <s v="Active"/>
    <x v="0"/>
    <x v="8"/>
    <s v="Executive"/>
    <x v="4"/>
    <m/>
    <n v="35000"/>
    <m/>
    <s v="Active"/>
    <s v="BTL/KYL"/>
    <s v="Commercial"/>
    <s v="Executive"/>
    <n v="5000"/>
    <m/>
    <n v="40000"/>
    <m/>
    <m/>
    <m/>
    <m/>
    <m/>
    <n v="0"/>
    <m/>
    <m/>
    <m/>
    <m/>
  </r>
  <r>
    <x v="57"/>
    <x v="57"/>
    <m/>
    <n v="2000"/>
    <s v="Active"/>
    <x v="0"/>
    <x v="8"/>
    <s v="Executive"/>
    <x v="4"/>
    <m/>
    <n v="26000"/>
    <m/>
    <s v="Active"/>
    <s v="BTL/KYL"/>
    <s v="Legal &amp; Estate"/>
    <s v="Executive"/>
    <n v="4000"/>
    <m/>
    <n v="30000"/>
    <m/>
    <s v="Active"/>
    <s v="BTL/KYL"/>
    <s v="Estate &amp; Legal"/>
    <s v="Executive"/>
    <n v="30000"/>
    <n v="7000"/>
    <m/>
    <n v="37000"/>
    <m/>
  </r>
  <r>
    <x v="58"/>
    <x v="58"/>
    <m/>
    <n v="1000"/>
    <s v="Active"/>
    <x v="0"/>
    <x v="8"/>
    <s v="Executive"/>
    <x v="4"/>
    <m/>
    <n v="25000"/>
    <m/>
    <s v="Active"/>
    <s v="Pioneer Denim Limited"/>
    <s v="Commercial"/>
    <s v="Executive"/>
    <n v="4000"/>
    <m/>
    <n v="29000"/>
    <m/>
    <s v="Active"/>
    <s v="Pioneer Denim Limited"/>
    <s v="Commercial"/>
    <s v="Executive"/>
    <n v="29000"/>
    <n v="8000"/>
    <m/>
    <n v="37000"/>
    <m/>
  </r>
  <r>
    <x v="59"/>
    <x v="59"/>
    <m/>
    <n v="0"/>
    <s v="Inactive"/>
    <x v="1"/>
    <x v="4"/>
    <s v="Inactive"/>
    <x v="5"/>
    <s v="Inactive"/>
    <n v="0"/>
    <m/>
    <s v="Active"/>
    <s v="BTL/KYL"/>
    <s v="Commercial"/>
    <s v="?"/>
    <n v="6000"/>
    <m/>
    <n v="20000"/>
    <m/>
    <s v="Active"/>
    <s v="BTL/KYL"/>
    <s v="Commercial"/>
    <s v="Trainee Officer"/>
    <n v="20000"/>
    <n v="6000"/>
    <m/>
    <n v="26000"/>
    <m/>
  </r>
  <r>
    <x v="60"/>
    <x v="60"/>
    <m/>
    <n v="1000"/>
    <s v="Active"/>
    <x v="0"/>
    <x v="8"/>
    <s v="Executive"/>
    <x v="4"/>
    <m/>
    <n v="22000"/>
    <m/>
    <s v="Active"/>
    <s v="BTL/KYL"/>
    <s v="Commercial"/>
    <s v="Executive"/>
    <n v="3000"/>
    <m/>
    <n v="25000"/>
    <m/>
    <m/>
    <m/>
    <m/>
    <m/>
    <n v="0"/>
    <m/>
    <m/>
    <m/>
    <m/>
  </r>
  <r>
    <x v="61"/>
    <x v="61"/>
    <m/>
    <n v="1000"/>
    <s v="Active"/>
    <x v="0"/>
    <x v="8"/>
    <s v="?"/>
    <x v="4"/>
    <m/>
    <n v="22000"/>
    <m/>
    <s v="Active"/>
    <s v="BTL/KYL"/>
    <s v="Commercial"/>
    <s v="?"/>
    <n v="5000"/>
    <m/>
    <n v="27000"/>
    <m/>
    <s v="Active"/>
    <s v="BTL/KYL"/>
    <s v="Commercial"/>
    <s v="?"/>
    <n v="27000"/>
    <n v="5000"/>
    <m/>
    <n v="32000"/>
    <m/>
  </r>
  <r>
    <x v="62"/>
    <x v="62"/>
    <m/>
    <n v="1000"/>
    <s v="Active"/>
    <x v="0"/>
    <x v="8"/>
    <s v="?"/>
    <x v="4"/>
    <m/>
    <n v="22000"/>
    <m/>
    <s v="Active"/>
    <s v="BTL/KYL"/>
    <s v="Commerical"/>
    <s v="?"/>
    <n v="8000"/>
    <m/>
    <n v="30000"/>
    <m/>
    <s v="Active"/>
    <s v="BTL/KYL"/>
    <s v="Commercial"/>
    <s v="?"/>
    <n v="30000"/>
    <n v="5000"/>
    <m/>
    <n v="35000"/>
    <m/>
  </r>
  <r>
    <x v="63"/>
    <x v="63"/>
    <m/>
    <n v="1000"/>
    <s v="Active"/>
    <x v="0"/>
    <x v="8"/>
    <s v="?"/>
    <x v="4"/>
    <m/>
    <n v="20000"/>
    <m/>
    <s v="Active"/>
    <s v="BTL/KYL"/>
    <s v="Commercial"/>
    <s v="?"/>
    <n v="3000"/>
    <m/>
    <n v="23000"/>
    <m/>
    <s v="Active"/>
    <s v="BTL/KYL"/>
    <s v="Commercial"/>
    <s v="?"/>
    <n v="23000"/>
    <n v="5000"/>
    <m/>
    <n v="28000"/>
    <m/>
  </r>
  <r>
    <x v="64"/>
    <x v="64"/>
    <m/>
    <n v="0"/>
    <s v="Active"/>
    <x v="0"/>
    <x v="8"/>
    <s v="Jr. Executive"/>
    <x v="4"/>
    <m/>
    <n v="15000"/>
    <m/>
    <s v="Active"/>
    <s v="BTL/KYL"/>
    <s v="Commercial"/>
    <s v="Jr. Executive"/>
    <n v="5000"/>
    <m/>
    <n v="20000"/>
    <m/>
    <s v="Active"/>
    <s v="BTL/KYL"/>
    <s v="Commercial"/>
    <s v="Jr. Executive"/>
    <n v="20000"/>
    <n v="5000"/>
    <m/>
    <n v="25000"/>
    <m/>
  </r>
  <r>
    <x v="65"/>
    <x v="65"/>
    <m/>
    <n v="1000"/>
    <s v="Active"/>
    <x v="0"/>
    <x v="8"/>
    <s v="Messenger"/>
    <x v="6"/>
    <m/>
    <n v="18000"/>
    <m/>
    <s v="Active"/>
    <s v="BTL/KYL"/>
    <s v="Commercial"/>
    <s v="?"/>
    <n v="4000"/>
    <m/>
    <n v="22000"/>
    <m/>
    <s v="Active"/>
    <s v="BTL/KYL"/>
    <s v="Commercial"/>
    <s v="?"/>
    <n v="22000"/>
    <n v="3000"/>
    <m/>
    <n v="25000"/>
    <m/>
  </r>
  <r>
    <x v="66"/>
    <x v="66"/>
    <m/>
    <n v="0"/>
    <s v="Active"/>
    <x v="0"/>
    <x v="8"/>
    <s v="Executive"/>
    <x v="6"/>
    <m/>
    <n v="17000"/>
    <m/>
    <s v="Active"/>
    <s v="Pioneer Denim Limited"/>
    <s v="Commercial"/>
    <s v="Executive"/>
    <n v="4000"/>
    <m/>
    <n v="21000"/>
    <m/>
    <s v="Active"/>
    <s v="Pioneer Denim Limited"/>
    <s v="Commercial"/>
    <s v="Executive"/>
    <n v="21000"/>
    <n v="5000"/>
    <m/>
    <n v="26000"/>
    <m/>
  </r>
  <r>
    <x v="67"/>
    <x v="67"/>
    <m/>
    <n v="0"/>
    <s v="Active"/>
    <x v="0"/>
    <x v="8"/>
    <s v="General Manager"/>
    <x v="5"/>
    <m/>
    <n v="175000"/>
    <m/>
    <s v="Active"/>
    <s v="BTL/KYL"/>
    <s v="Commercial"/>
    <s v="General Manager"/>
    <n v="0"/>
    <m/>
    <n v="175000"/>
    <m/>
    <s v="Active"/>
    <s v="BTL/KYL"/>
    <s v="Commercial"/>
    <s v="General Manager"/>
    <n v="175000"/>
    <n v="0"/>
    <m/>
    <n v="175000"/>
    <m/>
  </r>
  <r>
    <x v="68"/>
    <x v="68"/>
    <m/>
    <n v="5000"/>
    <s v="Active"/>
    <x v="0"/>
    <x v="8"/>
    <s v="Incharge"/>
    <x v="0"/>
    <m/>
    <n v="60000"/>
    <m/>
    <s v="Active"/>
    <s v="Pioneer Denim Limited"/>
    <s v="Commercial"/>
    <s v="Incharge"/>
    <n v="5000"/>
    <m/>
    <n v="65000"/>
    <m/>
    <s v="Active"/>
    <s v="Pioneer Denim Limited"/>
    <s v="Commercial"/>
    <s v="Manager"/>
    <n v="65000"/>
    <n v="12000"/>
    <m/>
    <n v="77000"/>
    <m/>
  </r>
  <r>
    <x v="69"/>
    <x v="69"/>
    <m/>
    <n v="2000"/>
    <s v="Active"/>
    <x v="0"/>
    <x v="8"/>
    <s v="Executive"/>
    <x v="3"/>
    <m/>
    <n v="35000"/>
    <m/>
    <s v="Active"/>
    <s v="BTL/KYL"/>
    <s v="Commercial"/>
    <s v="Executive"/>
    <n v="7000"/>
    <m/>
    <n v="42000"/>
    <m/>
    <s v="Active"/>
    <s v="BTL/KYL"/>
    <s v="Commercial"/>
    <s v="Executive"/>
    <n v="42000"/>
    <n v="10000"/>
    <m/>
    <n v="52000"/>
    <m/>
  </r>
  <r>
    <x v="70"/>
    <x v="70"/>
    <m/>
    <n v="0"/>
    <s v="Active"/>
    <x v="0"/>
    <x v="8"/>
    <s v="Trainee Officer"/>
    <x v="1"/>
    <m/>
    <n v="25000"/>
    <m/>
    <s v="Active"/>
    <s v="BTL/KYL"/>
    <s v="Commercial"/>
    <s v="Trainee Officer"/>
    <n v="5000"/>
    <m/>
    <n v="30000"/>
    <m/>
    <s v="Active"/>
    <s v="BTL/KYL"/>
    <s v="Commercial"/>
    <s v="Trainee Officer"/>
    <n v="30000"/>
    <n v="5000"/>
    <m/>
    <n v="35000"/>
    <m/>
  </r>
  <r>
    <x v="71"/>
    <x v="71"/>
    <m/>
    <n v="3000"/>
    <s v="Active"/>
    <x v="0"/>
    <x v="8"/>
    <s v="?"/>
    <x v="1"/>
    <s v="Jr. Officer"/>
    <n v="25000"/>
    <m/>
    <s v="Active"/>
    <s v="BTL/KYL"/>
    <s v="Commercial"/>
    <s v="Jr. Officer"/>
    <n v="7000"/>
    <m/>
    <n v="32000"/>
    <m/>
    <m/>
    <m/>
    <m/>
    <m/>
    <n v="0"/>
    <m/>
    <m/>
    <m/>
    <m/>
  </r>
  <r>
    <x v="72"/>
    <x v="72"/>
    <m/>
    <n v="0"/>
    <s v="Inactive"/>
    <x v="1"/>
    <x v="4"/>
    <s v="Inactive"/>
    <x v="5"/>
    <s v="Inactive"/>
    <n v="0"/>
    <m/>
    <s v="Active"/>
    <s v="BTL/KYL"/>
    <s v="Commercial"/>
    <s v="Trainee Officer"/>
    <n v="5000"/>
    <m/>
    <n v="20000"/>
    <m/>
    <s v="Active"/>
    <s v="Pioneer Denim Limited"/>
    <s v="Commercial"/>
    <s v="Trainee Officer"/>
    <n v="20000"/>
    <n v="6000"/>
    <m/>
    <n v="26000"/>
    <m/>
  </r>
  <r>
    <x v="73"/>
    <x v="73"/>
    <m/>
    <n v="0"/>
    <s v="Inactive"/>
    <x v="1"/>
    <x v="4"/>
    <s v="Inactive"/>
    <x v="5"/>
    <s v="Inactive"/>
    <n v="0"/>
    <m/>
    <s v="Active"/>
    <s v="BTL/KYL"/>
    <s v="Commercial"/>
    <s v="Sr. Executive"/>
    <n v="4000"/>
    <m/>
    <n v="39000"/>
    <m/>
    <s v="Active"/>
    <s v="BTL/KYL"/>
    <s v="Commercial"/>
    <s v="Sr. Executive"/>
    <n v="39000"/>
    <n v="6000"/>
    <m/>
    <n v="45000"/>
    <m/>
  </r>
  <r>
    <x v="74"/>
    <x v="74"/>
    <m/>
    <n v="3000"/>
    <s v="Active"/>
    <x v="0"/>
    <x v="8"/>
    <s v="?"/>
    <x v="8"/>
    <m/>
    <n v="34000"/>
    <m/>
    <s v="Active"/>
    <s v="BTL/KYL"/>
    <s v="Marketing &amp; Sales"/>
    <s v="?"/>
    <n v="6000"/>
    <m/>
    <n v="40000"/>
    <m/>
    <s v="Active"/>
    <s v="BTL/KYL"/>
    <s v="Marketing &amp; Sales"/>
    <s v="?"/>
    <n v="40000"/>
    <n v="10000"/>
    <m/>
    <n v="50000"/>
    <m/>
  </r>
  <r>
    <x v="75"/>
    <x v="75"/>
    <m/>
    <n v="2000"/>
    <s v="Active"/>
    <x v="0"/>
    <x v="8"/>
    <s v="?"/>
    <x v="1"/>
    <m/>
    <n v="27000"/>
    <m/>
    <m/>
    <m/>
    <m/>
    <m/>
    <m/>
    <m/>
    <n v="27000"/>
    <m/>
    <m/>
    <m/>
    <m/>
    <m/>
    <n v="0"/>
    <m/>
    <m/>
    <m/>
    <m/>
  </r>
  <r>
    <x v="76"/>
    <x v="76"/>
    <m/>
    <n v="1000"/>
    <s v="Active"/>
    <x v="0"/>
    <x v="8"/>
    <s v="?"/>
    <x v="7"/>
    <m/>
    <n v="29000"/>
    <m/>
    <s v="Active"/>
    <s v="BTL/KYL"/>
    <s v="Commercial"/>
    <s v="?"/>
    <n v="6000"/>
    <m/>
    <n v="35000"/>
    <m/>
    <s v="Active"/>
    <s v="BTL/KYL"/>
    <s v="Commercial"/>
    <s v="?"/>
    <n v="35000"/>
    <n v="5000"/>
    <m/>
    <n v="40000"/>
    <m/>
  </r>
  <r>
    <x v="77"/>
    <x v="77"/>
    <m/>
    <n v="2000"/>
    <s v="Active"/>
    <x v="0"/>
    <x v="8"/>
    <s v="Executive"/>
    <x v="7"/>
    <m/>
    <n v="31000"/>
    <m/>
    <s v="Active"/>
    <s v="BTL/KYL"/>
    <s v="Commercial"/>
    <s v="Executive"/>
    <n v="5000"/>
    <m/>
    <n v="36000"/>
    <m/>
    <s v="Active"/>
    <s v="BTL/KYL"/>
    <s v="Commercial"/>
    <s v="Executive"/>
    <n v="36000"/>
    <n v="5000"/>
    <m/>
    <n v="41000"/>
    <m/>
  </r>
  <r>
    <x v="78"/>
    <x v="78"/>
    <m/>
    <n v="0"/>
    <s v="Active"/>
    <x v="0"/>
    <x v="8"/>
    <s v="Jr. Officer"/>
    <x v="8"/>
    <m/>
    <n v="16000"/>
    <m/>
    <m/>
    <m/>
    <m/>
    <m/>
    <m/>
    <m/>
    <n v="16000"/>
    <m/>
    <m/>
    <m/>
    <m/>
    <m/>
    <n v="0"/>
    <m/>
    <m/>
    <m/>
    <m/>
  </r>
  <r>
    <x v="79"/>
    <x v="79"/>
    <m/>
    <n v="0"/>
    <s v="Active"/>
    <x v="0"/>
    <x v="8"/>
    <s v="Jr. Officer"/>
    <x v="1"/>
    <m/>
    <n v="17000"/>
    <m/>
    <s v="Active"/>
    <s v="BTL/KYL"/>
    <s v="Commercial"/>
    <s v="Jr. Officer"/>
    <n v="5000"/>
    <m/>
    <n v="22000"/>
    <m/>
    <s v="Active"/>
    <s v="BTL/KYL"/>
    <s v="Commercial"/>
    <s v="Jr. Officer"/>
    <n v="22000"/>
    <n v="5000"/>
    <m/>
    <n v="27000"/>
    <m/>
  </r>
  <r>
    <x v="80"/>
    <x v="80"/>
    <m/>
    <n v="0"/>
    <s v="Active"/>
    <x v="0"/>
    <x v="8"/>
    <s v="Trainee Officer"/>
    <x v="4"/>
    <m/>
    <n v="23000"/>
    <m/>
    <s v="Active"/>
    <s v="BTL/KYL"/>
    <s v="Commercial"/>
    <s v="Trainee Officer"/>
    <n v="5000"/>
    <m/>
    <n v="28000"/>
    <m/>
    <s v="Active"/>
    <s v="BTL/KYL"/>
    <s v="Commercial"/>
    <s v="Trainee Officer"/>
    <n v="28000"/>
    <n v="5000"/>
    <m/>
    <n v="33000"/>
    <m/>
  </r>
  <r>
    <x v="81"/>
    <x v="81"/>
    <m/>
    <n v="0"/>
    <s v="Active"/>
    <x v="0"/>
    <x v="8"/>
    <s v="Trainee Officer"/>
    <x v="4"/>
    <m/>
    <n v="18000"/>
    <m/>
    <s v="Active"/>
    <s v="BTL/KYL"/>
    <s v="Commercial"/>
    <s v="Trainee Officer"/>
    <n v="7000"/>
    <m/>
    <n v="25000"/>
    <m/>
    <s v="Active"/>
    <s v="BTL/KYL"/>
    <s v="Commercial"/>
    <s v="Trainee Officer"/>
    <n v="25000"/>
    <n v="5000"/>
    <m/>
    <n v="30000"/>
    <m/>
  </r>
  <r>
    <x v="82"/>
    <x v="82"/>
    <m/>
    <n v="1000"/>
    <s v="Active"/>
    <x v="0"/>
    <x v="8"/>
    <s v="?"/>
    <x v="4"/>
    <m/>
    <n v="20000"/>
    <m/>
    <s v="Active"/>
    <s v="BTL/KYL"/>
    <s v="Commercial"/>
    <s v="?"/>
    <n v="4000"/>
    <m/>
    <n v="24000"/>
    <m/>
    <s v="Active"/>
    <s v="BTL/KYL"/>
    <s v="Commercial"/>
    <s v="?"/>
    <n v="24000"/>
    <n v="6000"/>
    <m/>
    <n v="30000"/>
    <m/>
  </r>
  <r>
    <x v="83"/>
    <x v="83"/>
    <m/>
    <n v="1000"/>
    <s v="Active"/>
    <x v="0"/>
    <x v="8"/>
    <s v="?"/>
    <x v="4"/>
    <m/>
    <n v="21000"/>
    <m/>
    <s v="Active"/>
    <s v="BTL/KYL"/>
    <s v="Commercial"/>
    <s v="?"/>
    <n v="4000"/>
    <m/>
    <n v="25000"/>
    <m/>
    <s v="Active"/>
    <s v="BTL/KYL"/>
    <s v="Commercial"/>
    <s v="?"/>
    <n v="25000"/>
    <n v="5000"/>
    <m/>
    <n v="30000"/>
    <m/>
  </r>
  <r>
    <x v="84"/>
    <x v="84"/>
    <m/>
    <n v="0"/>
    <s v="Inactive"/>
    <x v="1"/>
    <x v="4"/>
    <s v="Inactive"/>
    <x v="5"/>
    <s v="Inactive"/>
    <n v="0"/>
    <m/>
    <s v="Active"/>
    <s v="BTL/KYL"/>
    <s v="Commercial"/>
    <s v="Manager"/>
    <n v="5000"/>
    <m/>
    <n v="75000"/>
    <m/>
    <s v="Active"/>
    <s v="BTL/KYL"/>
    <s v="Commercial"/>
    <s v="Manager"/>
    <n v="75000"/>
    <n v="7000"/>
    <m/>
    <n v="82000"/>
    <m/>
  </r>
  <r>
    <x v="85"/>
    <x v="85"/>
    <m/>
    <n v="0"/>
    <s v="Inactive"/>
    <x v="1"/>
    <x v="4"/>
    <s v="Inactive"/>
    <x v="5"/>
    <s v="Inactive"/>
    <n v="0"/>
    <m/>
    <s v="Active"/>
    <s v="BTL/KYL"/>
    <s v="Commercial"/>
    <s v="Trainee Officer"/>
    <n v="4000"/>
    <m/>
    <n v="22000"/>
    <m/>
    <s v="Active"/>
    <s v="BTL/KYL"/>
    <s v="Commercial"/>
    <s v="Trainee Officer"/>
    <n v="22000"/>
    <n v="8000"/>
    <m/>
    <n v="30000"/>
    <m/>
  </r>
  <r>
    <x v="86"/>
    <x v="86"/>
    <m/>
    <n v="0"/>
    <s v="Inactive"/>
    <x v="1"/>
    <x v="4"/>
    <s v="Inactive"/>
    <x v="5"/>
    <s v="Inactive"/>
    <n v="0"/>
    <m/>
    <s v="Active"/>
    <s v="BTL/KYL"/>
    <s v="Commercial"/>
    <s v="Trainee Officer"/>
    <n v="5000"/>
    <m/>
    <n v="20000"/>
    <m/>
    <s v="Active"/>
    <s v="BTL/KYL"/>
    <s v="Commercial"/>
    <s v="Trainee Officer"/>
    <n v="20000"/>
    <n v="5000"/>
    <m/>
    <n v="25000"/>
    <m/>
  </r>
  <r>
    <x v="87"/>
    <x v="87"/>
    <m/>
    <n v="5000"/>
    <s v="Active"/>
    <x v="0"/>
    <x v="8"/>
    <s v="Jr. Officer"/>
    <x v="7"/>
    <m/>
    <n v="24000"/>
    <m/>
    <s v="Active"/>
    <s v="Pioneer Denim Limited"/>
    <s v="Import"/>
    <s v="Executive"/>
    <n v="4000"/>
    <m/>
    <n v="28000"/>
    <m/>
    <s v="Active"/>
    <s v="Pioneer Denim Limited"/>
    <s v="Import"/>
    <s v="Executive"/>
    <n v="28000"/>
    <n v="7000"/>
    <m/>
    <n v="35000"/>
    <m/>
  </r>
  <r>
    <x v="88"/>
    <x v="88"/>
    <m/>
    <n v="0"/>
    <s v="Active"/>
    <x v="0"/>
    <x v="8"/>
    <s v="Executive"/>
    <x v="7"/>
    <m/>
    <n v="39000"/>
    <m/>
    <s v="Active"/>
    <s v="Pioneer Denim Limited"/>
    <s v="Commercial"/>
    <s v="Executive"/>
    <n v="3000"/>
    <m/>
    <n v="42000"/>
    <m/>
    <s v="Inactive"/>
    <m/>
    <m/>
    <m/>
    <n v="0"/>
    <m/>
    <m/>
    <m/>
    <m/>
  </r>
  <r>
    <x v="89"/>
    <x v="89"/>
    <m/>
    <n v="10000"/>
    <s v="Active"/>
    <x v="0"/>
    <x v="9"/>
    <s v="Deputy General Manager"/>
    <x v="10"/>
    <m/>
    <n v="150000"/>
    <m/>
    <m/>
    <m/>
    <m/>
    <m/>
    <m/>
    <m/>
    <n v="150000"/>
    <m/>
    <m/>
    <m/>
    <m/>
    <m/>
    <n v="0"/>
    <m/>
    <m/>
    <m/>
    <m/>
  </r>
  <r>
    <x v="90"/>
    <x v="90"/>
    <m/>
    <n v="0"/>
    <s v="Active"/>
    <x v="0"/>
    <x v="9"/>
    <s v="?"/>
    <x v="5"/>
    <m/>
    <n v="120000"/>
    <m/>
    <m/>
    <m/>
    <m/>
    <m/>
    <m/>
    <m/>
    <n v="120000"/>
    <m/>
    <s v="Inactive"/>
    <m/>
    <m/>
    <m/>
    <n v="0"/>
    <m/>
    <m/>
    <m/>
    <m/>
  </r>
  <r>
    <x v="91"/>
    <x v="91"/>
    <m/>
    <n v="0"/>
    <s v="Active"/>
    <x v="0"/>
    <x v="10"/>
    <s v="Assistant Manager"/>
    <x v="6"/>
    <m/>
    <n v="42000"/>
    <m/>
    <m/>
    <m/>
    <m/>
    <m/>
    <m/>
    <m/>
    <n v="42000"/>
    <m/>
    <s v="Inactive"/>
    <m/>
    <m/>
    <m/>
    <n v="0"/>
    <m/>
    <m/>
    <m/>
    <m/>
  </r>
  <r>
    <x v="92"/>
    <x v="92"/>
    <m/>
    <n v="2000"/>
    <s v="Active"/>
    <x v="0"/>
    <x v="10"/>
    <s v="?"/>
    <x v="6"/>
    <m/>
    <n v="52000"/>
    <m/>
    <s v="Active"/>
    <s v="BTL/KYL"/>
    <s v="Estate &amp; Legal"/>
    <s v="?"/>
    <n v="3000"/>
    <m/>
    <n v="55000"/>
    <m/>
    <s v="Active"/>
    <s v="BTL/KYL"/>
    <s v="Commercial"/>
    <s v="?"/>
    <n v="55000"/>
    <n v="7000"/>
    <m/>
    <n v="62000"/>
    <m/>
  </r>
  <r>
    <x v="93"/>
    <x v="93"/>
    <m/>
    <n v="5000"/>
    <s v="Active"/>
    <x v="0"/>
    <x v="10"/>
    <s v="Executive"/>
    <x v="6"/>
    <m/>
    <n v="35000"/>
    <m/>
    <s v="Active"/>
    <s v="BTL/KYL"/>
    <s v="Estate &amp; Legal"/>
    <s v="Executive"/>
    <n v="7000"/>
    <m/>
    <n v="42000"/>
    <m/>
    <s v="Active"/>
    <s v="BTL/KYL"/>
    <s v="Estate &amp; Legal"/>
    <s v="Manager"/>
    <n v="42000"/>
    <n v="15000"/>
    <m/>
    <n v="57000"/>
    <m/>
  </r>
  <r>
    <x v="94"/>
    <x v="94"/>
    <m/>
    <n v="0"/>
    <s v="Active"/>
    <x v="0"/>
    <x v="10"/>
    <s v="Officer"/>
    <x v="5"/>
    <m/>
    <n v="55000"/>
    <m/>
    <s v="Inactive"/>
    <s v="Inactive"/>
    <s v="Inactive"/>
    <s v="Inactive"/>
    <n v="0"/>
    <s v="Inactive"/>
    <n v="0"/>
    <m/>
    <s v="Inactive"/>
    <m/>
    <m/>
    <m/>
    <n v="0"/>
    <m/>
    <m/>
    <m/>
    <m/>
  </r>
  <r>
    <x v="95"/>
    <x v="95"/>
    <m/>
    <n v="0"/>
    <s v="Inactive"/>
    <x v="1"/>
    <x v="4"/>
    <s v="Inactive"/>
    <x v="5"/>
    <s v="Inactive"/>
    <n v="0"/>
    <m/>
    <s v="Active"/>
    <s v="BTL/KYL"/>
    <s v="Legal &amp; Estate"/>
    <s v="Asst. Manager"/>
    <n v="0"/>
    <m/>
    <n v="40000"/>
    <m/>
    <s v="Active"/>
    <s v="BTL/KYL"/>
    <s v="Estate &amp; Legal"/>
    <s v="Assistant Manager"/>
    <n v="40000"/>
    <n v="5000"/>
    <m/>
    <n v="45000"/>
    <m/>
  </r>
  <r>
    <x v="96"/>
    <x v="96"/>
    <m/>
    <n v="0"/>
    <s v="Active"/>
    <x v="0"/>
    <x v="10"/>
    <s v="Assistant Manager"/>
    <x v="5"/>
    <m/>
    <n v="40000"/>
    <m/>
    <s v="Inactive"/>
    <s v="Inactive"/>
    <s v="Inactive"/>
    <s v="Inactive"/>
    <n v="0"/>
    <s v="Inactive"/>
    <n v="0"/>
    <m/>
    <s v="Inactive"/>
    <m/>
    <m/>
    <m/>
    <n v="0"/>
    <m/>
    <m/>
    <m/>
    <m/>
  </r>
  <r>
    <x v="97"/>
    <x v="97"/>
    <m/>
    <n v="3000"/>
    <s v="Active"/>
    <x v="0"/>
    <x v="10"/>
    <s v="Manager - Protocol"/>
    <x v="7"/>
    <m/>
    <n v="37000"/>
    <m/>
    <s v="Active"/>
    <s v="BTL/KYL"/>
    <s v="Administration"/>
    <s v="?"/>
    <n v="3000"/>
    <m/>
    <n v="40000"/>
    <m/>
    <s v="Inactive"/>
    <m/>
    <m/>
    <m/>
    <n v="0"/>
    <m/>
    <m/>
    <m/>
    <m/>
  </r>
  <r>
    <x v="98"/>
    <x v="98"/>
    <m/>
    <n v="0"/>
    <s v="Active"/>
    <x v="0"/>
    <x v="10"/>
    <s v="?"/>
    <x v="4"/>
    <m/>
    <n v="18000"/>
    <m/>
    <s v="Active"/>
    <s v="BTL/KYL"/>
    <s v="Administration"/>
    <s v="?"/>
    <n v="6000"/>
    <m/>
    <n v="24000"/>
    <m/>
    <s v="Active"/>
    <s v="BTL/KYL"/>
    <s v="Administration"/>
    <s v="?"/>
    <n v="24000"/>
    <n v="6000"/>
    <m/>
    <n v="30000"/>
    <m/>
  </r>
  <r>
    <x v="99"/>
    <x v="99"/>
    <m/>
    <n v="1000"/>
    <s v="Active"/>
    <x v="0"/>
    <x v="10"/>
    <s v="Receptionist"/>
    <x v="6"/>
    <m/>
    <n v="18000"/>
    <m/>
    <s v="Active"/>
    <s v="BTL/KYL"/>
    <s v="Administration"/>
    <s v="Receptionist"/>
    <n v="4000"/>
    <m/>
    <n v="22000"/>
    <m/>
    <s v="Active"/>
    <s v="BTL/KYL"/>
    <s v="Administration"/>
    <s v="Receptionist"/>
    <n v="22000"/>
    <n v="7000"/>
    <m/>
    <n v="29000"/>
    <m/>
  </r>
  <r>
    <x v="100"/>
    <x v="100"/>
    <m/>
    <n v="0"/>
    <s v="Inactive"/>
    <x v="1"/>
    <x v="4"/>
    <s v="Inactive"/>
    <x v="5"/>
    <s v="Inactive"/>
    <n v="0"/>
    <m/>
    <s v="Active"/>
    <s v="BTL/KYL"/>
    <s v="Commercial"/>
    <s v="Trainee"/>
    <n v="5000"/>
    <m/>
    <n v="20000"/>
    <m/>
    <s v="Active"/>
    <s v="Pioneer Denim Limited"/>
    <s v="Procurement"/>
    <s v="Executive"/>
    <n v="20000"/>
    <n v="5000"/>
    <m/>
    <n v="25000"/>
    <m/>
  </r>
  <r>
    <x v="101"/>
    <x v="101"/>
    <m/>
    <n v="0"/>
    <s v="Active"/>
    <x v="0"/>
    <x v="10"/>
    <s v="Receptionist"/>
    <x v="5"/>
    <m/>
    <n v="12000"/>
    <m/>
    <s v="Active"/>
    <s v="BTL/KYL"/>
    <s v="Commercial"/>
    <s v="?"/>
    <n v="5000"/>
    <m/>
    <n v="17000"/>
    <m/>
    <s v="Active"/>
    <s v="BTL/KYL"/>
    <s v="Commercial"/>
    <s v="?"/>
    <n v="17000"/>
    <n v="7000"/>
    <m/>
    <n v="24000"/>
    <m/>
  </r>
  <r>
    <x v="102"/>
    <x v="102"/>
    <m/>
    <n v="0"/>
    <s v="Active"/>
    <x v="0"/>
    <x v="10"/>
    <s v="Messenger"/>
    <x v="5"/>
    <m/>
    <n v="16000"/>
    <m/>
    <s v="Active"/>
    <s v="BTL/KYL"/>
    <s v="Administration"/>
    <s v="Messenger"/>
    <n v="2000"/>
    <m/>
    <n v="18000"/>
    <m/>
    <s v="Active"/>
    <s v="BTL/KYL"/>
    <s v="Import"/>
    <s v="Messenger"/>
    <n v="18000"/>
    <n v="3000"/>
    <m/>
    <n v="21000"/>
    <m/>
  </r>
  <r>
    <x v="103"/>
    <x v="103"/>
    <m/>
    <n v="2000"/>
    <s v="Active"/>
    <x v="0"/>
    <x v="10"/>
    <s v="Messenger"/>
    <x v="5"/>
    <m/>
    <n v="10000"/>
    <m/>
    <m/>
    <m/>
    <m/>
    <m/>
    <m/>
    <m/>
    <n v="10000"/>
    <m/>
    <s v="Inactive"/>
    <m/>
    <m/>
    <m/>
    <n v="0"/>
    <m/>
    <m/>
    <m/>
    <m/>
  </r>
  <r>
    <x v="104"/>
    <x v="104"/>
    <m/>
    <n v="2000"/>
    <s v="Active"/>
    <x v="0"/>
    <x v="10"/>
    <s v="Peon"/>
    <x v="5"/>
    <m/>
    <n v="16000"/>
    <m/>
    <s v="Active"/>
    <s v="BTL/KYL"/>
    <s v="Administration"/>
    <s v="Peon"/>
    <n v="2000"/>
    <m/>
    <n v="18000"/>
    <m/>
    <s v="Active"/>
    <s v="BTL/KYL"/>
    <s v="Administration"/>
    <s v="Peon"/>
    <n v="18000"/>
    <n v="2000"/>
    <m/>
    <n v="20000"/>
    <m/>
  </r>
  <r>
    <x v="105"/>
    <x v="105"/>
    <m/>
    <n v="1000"/>
    <s v="Active"/>
    <x v="0"/>
    <x v="10"/>
    <s v="Cleaner"/>
    <x v="11"/>
    <m/>
    <n v="13500"/>
    <m/>
    <s v="Active"/>
    <s v="BTL/KYL"/>
    <s v="Administration"/>
    <s v="Cleaner"/>
    <n v="1500"/>
    <m/>
    <n v="15000"/>
    <m/>
    <s v="Active"/>
    <s v="BTL/KYL"/>
    <s v="Administration"/>
    <s v="Cleaner"/>
    <n v="15000"/>
    <n v="2000"/>
    <m/>
    <n v="17000"/>
    <m/>
  </r>
  <r>
    <x v="106"/>
    <x v="106"/>
    <m/>
    <n v="1000"/>
    <s v="Active"/>
    <x v="0"/>
    <x v="10"/>
    <s v="Peon"/>
    <x v="5"/>
    <m/>
    <n v="14000"/>
    <m/>
    <s v="Active"/>
    <s v="BTL/KYL"/>
    <s v="Administration"/>
    <s v="Peon"/>
    <n v="2000"/>
    <m/>
    <n v="16000"/>
    <m/>
    <s v="Active"/>
    <s v="BTL/KYL"/>
    <s v="Administration"/>
    <s v="Peon"/>
    <n v="16000"/>
    <n v="2000"/>
    <m/>
    <n v="18000"/>
    <m/>
  </r>
  <r>
    <x v="107"/>
    <x v="107"/>
    <m/>
    <n v="1000"/>
    <s v="Active"/>
    <x v="0"/>
    <x v="10"/>
    <s v="Messenger"/>
    <x v="9"/>
    <m/>
    <n v="11000"/>
    <s v="Grading Salary"/>
    <s v="Active"/>
    <s v="Pioneer Denim Limited"/>
    <s v="Administration"/>
    <s v="Messenger"/>
    <n v="3000"/>
    <m/>
    <n v="14000"/>
    <m/>
    <s v="Active"/>
    <s v="Pioneer Denim Limited"/>
    <s v="Administration"/>
    <s v="Messenger"/>
    <n v="14000"/>
    <n v="2000"/>
    <m/>
    <n v="16000"/>
    <m/>
  </r>
  <r>
    <x v="108"/>
    <x v="108"/>
    <m/>
    <n v="0"/>
    <s v="Active"/>
    <x v="0"/>
    <x v="10"/>
    <s v="Messenger"/>
    <x v="4"/>
    <m/>
    <n v="11000"/>
    <s v="Grading Salary"/>
    <s v="Active"/>
    <s v="Pioneer Denim Limited"/>
    <s v="Administration"/>
    <s v="Messenger"/>
    <n v="3000"/>
    <m/>
    <n v="14000"/>
    <m/>
    <s v="Active"/>
    <s v="Pioneer Denim Limited"/>
    <s v="Administration"/>
    <s v="Messenger"/>
    <n v="14000"/>
    <n v="2000"/>
    <m/>
    <n v="16000"/>
    <m/>
  </r>
  <r>
    <x v="109"/>
    <x v="109"/>
    <m/>
    <n v="0"/>
    <s v="Active"/>
    <x v="0"/>
    <x v="10"/>
    <s v="Peon"/>
    <x v="5"/>
    <m/>
    <n v="8000"/>
    <m/>
    <m/>
    <m/>
    <m/>
    <m/>
    <m/>
    <m/>
    <n v="8000"/>
    <m/>
    <s v="Inactive"/>
    <m/>
    <m/>
    <m/>
    <n v="8000"/>
    <m/>
    <m/>
    <n v="8000"/>
    <m/>
  </r>
  <r>
    <x v="110"/>
    <x v="110"/>
    <m/>
    <n v="1000"/>
    <s v="Active"/>
    <x v="0"/>
    <x v="10"/>
    <s v="Peon"/>
    <x v="5"/>
    <m/>
    <n v="11000"/>
    <m/>
    <s v="Active"/>
    <s v="BTL/KYL"/>
    <s v="Administration"/>
    <s v="Peon"/>
    <n v="2000"/>
    <m/>
    <n v="13000"/>
    <m/>
    <s v="Active"/>
    <s v="BTL/KYL"/>
    <s v="Administration"/>
    <s v="Peon"/>
    <n v="13000"/>
    <n v="3000"/>
    <m/>
    <n v="16000"/>
    <m/>
  </r>
  <r>
    <x v="111"/>
    <x v="111"/>
    <m/>
    <n v="0"/>
    <s v="Active"/>
    <x v="0"/>
    <x v="10"/>
    <s v="Peon"/>
    <x v="4"/>
    <m/>
    <n v="11000"/>
    <m/>
    <s v="Active"/>
    <s v="Pioneer Denim Limited"/>
    <s v="Administration"/>
    <s v="Messenger"/>
    <n v="3000"/>
    <m/>
    <n v="14000"/>
    <m/>
    <s v="Active"/>
    <s v="Pioneer Denim Limited"/>
    <s v="Administration"/>
    <s v="Messenger"/>
    <n v="14000"/>
    <n v="2000"/>
    <m/>
    <n v="16000"/>
    <m/>
  </r>
  <r>
    <x v="112"/>
    <x v="112"/>
    <m/>
    <n v="0"/>
    <s v="Active"/>
    <x v="0"/>
    <x v="10"/>
    <s v="Peon"/>
    <x v="9"/>
    <m/>
    <n v="11000"/>
    <m/>
    <s v="Active"/>
    <s v="BTL/KYL"/>
    <s v="Administration"/>
    <s v="Peon"/>
    <n v="2000"/>
    <m/>
    <n v="13000"/>
    <m/>
    <s v="Active"/>
    <s v="BTL/KYL"/>
    <s v="Administration"/>
    <s v="Peon"/>
    <n v="13000"/>
    <n v="3000"/>
    <m/>
    <n v="16000"/>
    <m/>
  </r>
  <r>
    <x v="113"/>
    <x v="113"/>
    <m/>
    <n v="0"/>
    <s v="Active"/>
    <x v="0"/>
    <x v="10"/>
    <s v="Peon"/>
    <x v="6"/>
    <m/>
    <n v="10000"/>
    <m/>
    <s v="Active"/>
    <s v="BTL/KYL"/>
    <s v="Administration"/>
    <s v="Messenger"/>
    <n v="3000"/>
    <m/>
    <n v="13000"/>
    <m/>
    <s v="Active"/>
    <s v="BTL/KYL"/>
    <s v="Finance &amp; Accounts"/>
    <s v="Executive"/>
    <n v="13000"/>
    <n v="5000"/>
    <m/>
    <n v="18000"/>
    <m/>
  </r>
  <r>
    <x v="114"/>
    <x v="114"/>
    <m/>
    <n v="500"/>
    <s v="Active"/>
    <x v="0"/>
    <x v="10"/>
    <s v="Cook"/>
    <x v="5"/>
    <m/>
    <n v="14000"/>
    <m/>
    <s v="Active"/>
    <s v="BTL/KYL"/>
    <s v="Administration"/>
    <s v="Cook"/>
    <n v="2000"/>
    <m/>
    <n v="16000"/>
    <m/>
    <s v="Active"/>
    <s v="BTL/KYL"/>
    <s v="Administration"/>
    <s v="Cook"/>
    <n v="16000"/>
    <n v="2000"/>
    <m/>
    <n v="18000"/>
    <m/>
  </r>
  <r>
    <x v="115"/>
    <x v="115"/>
    <m/>
    <n v="500"/>
    <s v="Active"/>
    <x v="0"/>
    <x v="10"/>
    <s v="Cook"/>
    <x v="9"/>
    <m/>
    <n v="14000"/>
    <m/>
    <s v="Active"/>
    <s v="BTL/KYL"/>
    <s v="Administration"/>
    <s v="Cook"/>
    <n v="2000"/>
    <m/>
    <n v="16000"/>
    <m/>
    <s v="Active"/>
    <s v="BTL/KYL"/>
    <s v="Administration"/>
    <s v="Cook"/>
    <n v="16000"/>
    <n v="2000"/>
    <m/>
    <n v="18000"/>
    <m/>
  </r>
  <r>
    <x v="116"/>
    <x v="116"/>
    <m/>
    <n v="0"/>
    <s v="Active"/>
    <x v="0"/>
    <x v="10"/>
    <s v="Assistant Cook"/>
    <x v="5"/>
    <m/>
    <n v="8000"/>
    <m/>
    <m/>
    <m/>
    <m/>
    <m/>
    <m/>
    <m/>
    <n v="8000"/>
    <m/>
    <s v="Inactive"/>
    <m/>
    <m/>
    <m/>
    <n v="8000"/>
    <m/>
    <m/>
    <n v="8000"/>
    <m/>
  </r>
  <r>
    <x v="117"/>
    <x v="117"/>
    <m/>
    <n v="0"/>
    <s v="Active"/>
    <x v="0"/>
    <x v="10"/>
    <s v="Assistant Cook"/>
    <x v="6"/>
    <m/>
    <n v="10000"/>
    <m/>
    <s v="Active"/>
    <s v="BTL/KYL"/>
    <s v="Administration"/>
    <s v="Asst. Cook"/>
    <n v="2000"/>
    <m/>
    <n v="12000"/>
    <m/>
    <s v="Active"/>
    <s v="BTL/KYL"/>
    <s v="Administration"/>
    <s v="Asst. Cook"/>
    <n v="12000"/>
    <m/>
    <m/>
    <n v="12000"/>
    <m/>
  </r>
  <r>
    <x v="118"/>
    <x v="118"/>
    <m/>
    <n v="0"/>
    <s v="Active"/>
    <x v="0"/>
    <x v="10"/>
    <s v="Assistant Cook"/>
    <x v="6"/>
    <m/>
    <n v="10000"/>
    <m/>
    <s v="Active"/>
    <s v="BTL/KYL"/>
    <s v="Administration"/>
    <s v="Peon"/>
    <n v="2000"/>
    <m/>
    <n v="12000"/>
    <m/>
    <s v="Active"/>
    <s v="BTL/KYL"/>
    <s v="Administration"/>
    <s v="Peon"/>
    <n v="12000"/>
    <n v="2000"/>
    <m/>
    <n v="14000"/>
    <m/>
  </r>
  <r>
    <x v="119"/>
    <x v="119"/>
    <m/>
    <n v="2000"/>
    <s v="Active"/>
    <x v="2"/>
    <x v="6"/>
    <s v="Head of Procurement"/>
    <x v="7"/>
    <m/>
    <n v="45000"/>
    <m/>
    <s v="Active"/>
    <s v="Pioneer Denim Limited"/>
    <s v="Procurement"/>
    <s v="Head of Procurement"/>
    <n v="10000"/>
    <m/>
    <n v="55000"/>
    <m/>
    <s v="Active"/>
    <s v="Pioneer Denim Limited"/>
    <s v="Procurement"/>
    <s v="Head of Procurement"/>
    <n v="55000"/>
    <n v="15000"/>
    <m/>
    <n v="70000"/>
    <m/>
  </r>
  <r>
    <x v="120"/>
    <x v="120"/>
    <m/>
    <n v="0"/>
    <s v="Active"/>
    <x v="2"/>
    <x v="6"/>
    <s v="Jr. Executive"/>
    <x v="5"/>
    <m/>
    <n v="18000"/>
    <m/>
    <s v="Active"/>
    <s v="Pioneer Denim Limited"/>
    <s v="Procurement"/>
    <s v="Jr. Executive"/>
    <n v="5000"/>
    <m/>
    <n v="23000"/>
    <m/>
    <s v="Active"/>
    <s v="Pioneer Denim Limited"/>
    <s v="Procurement"/>
    <s v="Executive"/>
    <n v="23000"/>
    <n v="4000"/>
    <m/>
    <n v="27000"/>
    <m/>
  </r>
  <r>
    <x v="121"/>
    <x v="121"/>
    <m/>
    <n v="2000"/>
    <s v="Active"/>
    <x v="2"/>
    <x v="6"/>
    <s v="Executive"/>
    <x v="7"/>
    <m/>
    <n v="28000"/>
    <m/>
    <s v="Active"/>
    <s v="Pioneer Denim Limited"/>
    <s v="Procurement"/>
    <s v="Executive"/>
    <n v="3000"/>
    <m/>
    <n v="31000"/>
    <m/>
    <s v="Active"/>
    <s v="Pioneer Denim Limited"/>
    <s v="Procurement"/>
    <s v="Sr. Executive"/>
    <n v="31000"/>
    <n v="5000"/>
    <m/>
    <n v="36000"/>
    <m/>
  </r>
  <r>
    <x v="122"/>
    <x v="122"/>
    <m/>
    <n v="0"/>
    <s v="Active"/>
    <x v="2"/>
    <x v="1"/>
    <s v="Officer"/>
    <x v="5"/>
    <m/>
    <n v="45000"/>
    <m/>
    <m/>
    <m/>
    <m/>
    <m/>
    <m/>
    <m/>
    <n v="45000"/>
    <m/>
    <s v="Inactive"/>
    <m/>
    <m/>
    <m/>
    <n v="45000"/>
    <m/>
    <m/>
    <n v="45000"/>
    <m/>
  </r>
  <r>
    <x v="123"/>
    <x v="123"/>
    <m/>
    <n v="0"/>
    <s v="Active"/>
    <x v="2"/>
    <x v="1"/>
    <s v="Executive"/>
    <x v="5"/>
    <m/>
    <n v="35000"/>
    <m/>
    <m/>
    <m/>
    <m/>
    <m/>
    <n v="5000"/>
    <m/>
    <n v="40000"/>
    <m/>
    <s v="Active"/>
    <s v="Pioneer Denim Limited"/>
    <s v="Finance &amp; Accounts"/>
    <s v="Executive"/>
    <n v="40000"/>
    <n v="8000"/>
    <m/>
    <n v="48000"/>
    <m/>
  </r>
  <r>
    <x v="124"/>
    <x v="124"/>
    <m/>
    <n v="0"/>
    <s v="Active"/>
    <x v="2"/>
    <x v="1"/>
    <s v="Assistant Manager"/>
    <x v="5"/>
    <m/>
    <n v="40000"/>
    <m/>
    <s v="Active"/>
    <s v="Pioneer Denim Limited"/>
    <s v="Finance &amp; Accounts"/>
    <s v="Assistant Manager"/>
    <n v="5000"/>
    <m/>
    <n v="45000"/>
    <m/>
    <s v="Active"/>
    <s v="Pioneer Denim Limited"/>
    <s v="Finance &amp; Accounts"/>
    <s v="Assistant Manager"/>
    <n v="45000"/>
    <n v="8000"/>
    <m/>
    <n v="53000"/>
    <m/>
  </r>
  <r>
    <x v="125"/>
    <x v="125"/>
    <m/>
    <n v="0"/>
    <s v="Active"/>
    <x v="2"/>
    <x v="2"/>
    <s v="Officer"/>
    <x v="5"/>
    <m/>
    <n v="25000"/>
    <m/>
    <s v="Inactive"/>
    <s v="Inactive"/>
    <s v="Inactive"/>
    <s v="Inactive"/>
    <n v="0"/>
    <s v="Inactive"/>
    <n v="0"/>
    <m/>
    <s v="Inactive"/>
    <m/>
    <m/>
    <m/>
    <n v="0"/>
    <m/>
    <m/>
    <n v="0"/>
    <m/>
  </r>
  <r>
    <x v="126"/>
    <x v="126"/>
    <m/>
    <n v="0"/>
    <s v="Active"/>
    <x v="2"/>
    <x v="2"/>
    <s v="Officer"/>
    <x v="12"/>
    <m/>
    <n v="40000"/>
    <m/>
    <s v="Active"/>
    <s v="Pioneer Denim Limited"/>
    <s v="Finance &amp; Accounts"/>
    <s v="Executive"/>
    <n v="5000"/>
    <m/>
    <n v="45000"/>
    <m/>
    <s v="Active"/>
    <s v="Pioneer Denim Limited"/>
    <s v="Audit"/>
    <s v="Officer"/>
    <n v="45000"/>
    <n v="8000"/>
    <m/>
    <n v="53000"/>
    <m/>
  </r>
  <r>
    <x v="127"/>
    <x v="127"/>
    <m/>
    <n v="0"/>
    <s v="Inactive"/>
    <x v="1"/>
    <x v="4"/>
    <s v="Inactive"/>
    <x v="5"/>
    <s v="Inactive"/>
    <n v="0"/>
    <m/>
    <s v="Active"/>
    <s v="BTL/KYL"/>
    <s v="Administration"/>
    <s v="Deputy Manager"/>
    <n v="5000"/>
    <m/>
    <n v="45000"/>
    <m/>
    <s v="Inactive"/>
    <m/>
    <m/>
    <m/>
    <n v="45000"/>
    <m/>
    <m/>
    <n v="45000"/>
    <m/>
  </r>
  <r>
    <x v="128"/>
    <x v="128"/>
    <m/>
    <n v="0"/>
    <s v="Inactive"/>
    <x v="1"/>
    <x v="4"/>
    <s v="Inactive"/>
    <x v="5"/>
    <s v="Inactive"/>
    <n v="0"/>
    <m/>
    <s v="Active"/>
    <s v="BTL/KYL"/>
    <s v="Administration"/>
    <s v="Sr. Executive"/>
    <n v="5000"/>
    <m/>
    <n v="35000"/>
    <m/>
    <s v="Inactive"/>
    <m/>
    <m/>
    <m/>
    <n v="35000"/>
    <m/>
    <m/>
    <n v="35000"/>
    <m/>
  </r>
  <r>
    <x v="129"/>
    <x v="129"/>
    <m/>
    <n v="0"/>
    <s v="Inactive"/>
    <x v="1"/>
    <x v="4"/>
    <s v="Inactive"/>
    <x v="5"/>
    <s v="Inactive"/>
    <n v="0"/>
    <m/>
    <s v="Active"/>
    <s v="Pioneer Denim Limited"/>
    <s v="Administration"/>
    <s v="Jr. Officer"/>
    <n v="3000"/>
    <m/>
    <n v="26000"/>
    <m/>
    <s v="Inactive"/>
    <m/>
    <m/>
    <m/>
    <n v="26000"/>
    <m/>
    <m/>
    <n v="26000"/>
    <m/>
  </r>
  <r>
    <x v="130"/>
    <x v="130"/>
    <m/>
    <n v="0"/>
    <s v="Inactive"/>
    <x v="1"/>
    <x v="4"/>
    <s v="Inactive"/>
    <x v="5"/>
    <s v="Inactive"/>
    <n v="0"/>
    <m/>
    <s v="Active"/>
    <s v="BTL/KYL"/>
    <s v="Administration"/>
    <s v="Receiptionist"/>
    <n v="5000"/>
    <m/>
    <n v="15000"/>
    <m/>
    <s v="Active"/>
    <s v="BTL/KYL"/>
    <s v="Administration"/>
    <s v="Receiptionist"/>
    <n v="15000"/>
    <n v="5000"/>
    <m/>
    <n v="20000"/>
    <m/>
  </r>
  <r>
    <x v="131"/>
    <x v="131"/>
    <m/>
    <n v="0"/>
    <s v="Inactive"/>
    <x v="1"/>
    <x v="4"/>
    <s v="Inactive"/>
    <x v="5"/>
    <s v="Inactive"/>
    <n v="0"/>
    <m/>
    <s v="Active"/>
    <s v="BTL/KYL"/>
    <s v="Administration"/>
    <s v="Lift Man"/>
    <n v="2000"/>
    <m/>
    <n v="16000"/>
    <m/>
    <s v="Active"/>
    <s v="BTL/KYL"/>
    <s v="Utility"/>
    <s v="Lift Man"/>
    <n v="16000"/>
    <n v="2000"/>
    <m/>
    <n v="18000"/>
    <m/>
  </r>
  <r>
    <x v="132"/>
    <x v="25"/>
    <m/>
    <n v="0"/>
    <s v="Inactive"/>
    <x v="1"/>
    <x v="4"/>
    <s v="Inactive"/>
    <x v="5"/>
    <s v="Inactive"/>
    <n v="0"/>
    <m/>
    <s v="Active"/>
    <s v="BTL/KYL"/>
    <s v="Administration"/>
    <s v="Peon"/>
    <n v="4000"/>
    <m/>
    <n v="14000"/>
    <s v="As per Grading"/>
    <s v="Active"/>
    <s v="Pioneer Denim Limited"/>
    <s v="Administration"/>
    <s v="Messenger"/>
    <n v="14000"/>
    <n v="2000"/>
    <m/>
    <n v="16000"/>
    <m/>
  </r>
  <r>
    <x v="133"/>
    <x v="132"/>
    <m/>
    <n v="0"/>
    <s v="Inactive"/>
    <x v="1"/>
    <x v="4"/>
    <s v="Inactive"/>
    <x v="5"/>
    <s v="Inactive"/>
    <n v="0"/>
    <m/>
    <s v="Active"/>
    <s v="BTL/KYL"/>
    <s v="Administration"/>
    <s v="Peon"/>
    <n v="2000"/>
    <m/>
    <n v="12000"/>
    <m/>
    <s v="Active"/>
    <s v="BTL/KYL"/>
    <s v="Administration"/>
    <s v="Peon"/>
    <n v="12000"/>
    <n v="2000"/>
    <m/>
    <n v="14000"/>
    <m/>
  </r>
  <r>
    <x v="134"/>
    <x v="133"/>
    <m/>
    <n v="0"/>
    <s v="Inactive"/>
    <x v="1"/>
    <x v="4"/>
    <s v="Inactive"/>
    <x v="5"/>
    <s v="Inactive"/>
    <n v="0"/>
    <m/>
    <s v="Active"/>
    <s v="BTL/KYL"/>
    <s v="Administration"/>
    <s v="Asst. Cook"/>
    <n v="1000"/>
    <m/>
    <n v="10000"/>
    <m/>
    <s v="Active"/>
    <s v="BTL/KYL"/>
    <s v="Administration"/>
    <s v="Asst. Cook"/>
    <n v="10000"/>
    <n v="2000"/>
    <m/>
    <n v="12000"/>
    <m/>
  </r>
  <r>
    <x v="135"/>
    <x v="134"/>
    <m/>
    <n v="0"/>
    <s v="Inactive"/>
    <x v="1"/>
    <x v="4"/>
    <s v="Inactive"/>
    <x v="5"/>
    <s v="Inactive"/>
    <n v="0"/>
    <m/>
    <s v="Active"/>
    <s v="BTL/KYL"/>
    <s v="Administration"/>
    <s v="Asst. Cook"/>
    <n v="3000"/>
    <m/>
    <n v="13000"/>
    <m/>
    <s v="Inactive"/>
    <m/>
    <m/>
    <m/>
    <n v="13000"/>
    <m/>
    <m/>
    <n v="13000"/>
    <m/>
  </r>
  <r>
    <x v="136"/>
    <x v="135"/>
    <m/>
    <m/>
    <s v="Active"/>
    <x v="0"/>
    <x v="11"/>
    <s v="Driver"/>
    <x v="6"/>
    <m/>
    <n v="18000"/>
    <m/>
    <s v="Active"/>
    <s v="BTL/KYL"/>
    <s v="Transport"/>
    <s v="Driver"/>
    <n v="1000"/>
    <m/>
    <n v="19000"/>
    <s v="Grade A"/>
    <s v="Active"/>
    <s v="BTL/KYL"/>
    <s v="Transport"/>
    <s v="Driver"/>
    <n v="19000"/>
    <n v="1000"/>
    <m/>
    <n v="20000"/>
    <s v="A"/>
  </r>
  <r>
    <x v="137"/>
    <x v="136"/>
    <m/>
    <m/>
    <s v="Active"/>
    <x v="0"/>
    <x v="11"/>
    <s v="Driver"/>
    <x v="9"/>
    <m/>
    <n v="17000"/>
    <m/>
    <s v="Active"/>
    <s v="BTL/KYL"/>
    <s v="Transport"/>
    <s v="Driver"/>
    <n v="2000"/>
    <m/>
    <n v="19000"/>
    <s v="Grade A"/>
    <s v="Active"/>
    <s v="BTL/KYL"/>
    <s v="Transport"/>
    <s v="Driver"/>
    <n v="19000"/>
    <n v="1000"/>
    <m/>
    <n v="20000"/>
    <s v="A"/>
  </r>
  <r>
    <x v="138"/>
    <x v="137"/>
    <m/>
    <m/>
    <s v="Active"/>
    <x v="0"/>
    <x v="11"/>
    <s v="Driver"/>
    <x v="6"/>
    <m/>
    <n v="17000"/>
    <m/>
    <s v="Active"/>
    <s v="BTL/KYL"/>
    <s v="Transport"/>
    <s v="Driver"/>
    <n v="2000"/>
    <m/>
    <n v="19000"/>
    <s v="Grade A"/>
    <s v="Active"/>
    <s v="BTL/KYL"/>
    <s v="Transport"/>
    <s v="Driver"/>
    <n v="19000"/>
    <n v="1000"/>
    <m/>
    <n v="20000"/>
    <s v="A"/>
  </r>
  <r>
    <x v="139"/>
    <x v="138"/>
    <m/>
    <m/>
    <s v="Active"/>
    <x v="0"/>
    <x v="11"/>
    <s v="Driver"/>
    <x v="9"/>
    <m/>
    <n v="17000"/>
    <m/>
    <s v="Active"/>
    <s v="BTL/KYL"/>
    <s v="Transport"/>
    <s v="Driver"/>
    <n v="2000"/>
    <m/>
    <n v="19000"/>
    <s v="Grade A"/>
    <s v="Active"/>
    <s v="BTL/KYL"/>
    <s v="Transport"/>
    <s v="Driver"/>
    <n v="19000"/>
    <n v="1000"/>
    <m/>
    <n v="20000"/>
    <s v="A"/>
  </r>
  <r>
    <x v="140"/>
    <x v="139"/>
    <m/>
    <m/>
    <s v="Active"/>
    <x v="0"/>
    <x v="11"/>
    <s v="Driver"/>
    <x v="5"/>
    <m/>
    <n v="17000"/>
    <m/>
    <s v="Active"/>
    <s v="BTL/KYL"/>
    <s v="Transport"/>
    <s v="Driver"/>
    <n v="1000"/>
    <m/>
    <n v="18000"/>
    <s v="Grade B"/>
    <s v="Inactive"/>
    <m/>
    <m/>
    <m/>
    <n v="18000"/>
    <m/>
    <m/>
    <n v="18000"/>
    <m/>
  </r>
  <r>
    <x v="141"/>
    <x v="140"/>
    <m/>
    <n v="0"/>
    <s v="Inactive"/>
    <x v="1"/>
    <x v="4"/>
    <s v="Inactive"/>
    <x v="5"/>
    <s v="Inactive"/>
    <n v="0"/>
    <m/>
    <s v="Active"/>
    <s v="BTL/KYL"/>
    <s v="Audit"/>
    <s v="Assistant Manager"/>
    <n v="0"/>
    <m/>
    <n v="42000"/>
    <m/>
    <s v="Active"/>
    <s v="BTL/KYL"/>
    <s v="Marketing &amp; Sales"/>
    <s v="Assistant Manager"/>
    <n v="42000"/>
    <n v="8000"/>
    <m/>
    <n v="50000"/>
    <m/>
  </r>
  <r>
    <x v="142"/>
    <x v="141"/>
    <m/>
    <n v="0"/>
    <s v="Inactive"/>
    <x v="1"/>
    <x v="4"/>
    <s v="Inactive"/>
    <x v="5"/>
    <s v="Inactive"/>
    <n v="0"/>
    <m/>
    <s v="Active"/>
    <s v="BTL/KYL"/>
    <s v="Audit"/>
    <s v="Audit Assistant"/>
    <n v="2000"/>
    <m/>
    <n v="16000"/>
    <m/>
    <s v="Active"/>
    <s v="BTL/KYL"/>
    <s v="Audit"/>
    <s v="Audit Assistant"/>
    <n v="16000"/>
    <n v="5000"/>
    <m/>
    <n v="21000"/>
    <m/>
  </r>
  <r>
    <x v="143"/>
    <x v="142"/>
    <m/>
    <n v="0"/>
    <s v="Inactive"/>
    <x v="1"/>
    <x v="4"/>
    <s v="Inactive"/>
    <x v="5"/>
    <s v="Inactive"/>
    <n v="0"/>
    <m/>
    <s v="Active"/>
    <s v="BTL/KYL"/>
    <s v="Procurement"/>
    <s v="Officer"/>
    <n v="0"/>
    <m/>
    <n v="35000"/>
    <m/>
    <s v="Active"/>
    <s v="BTL/KYL"/>
    <s v="Procurement"/>
    <s v="Officer"/>
    <n v="35000"/>
    <n v="6000"/>
    <m/>
    <n v="41000"/>
    <m/>
  </r>
  <r>
    <x v="144"/>
    <x v="143"/>
    <m/>
    <n v="0"/>
    <s v="Inactive"/>
    <x v="1"/>
    <x v="4"/>
    <s v="Inactive"/>
    <x v="5"/>
    <s v="Inactive"/>
    <n v="0"/>
    <m/>
    <s v="Active"/>
    <s v="BTL/KYL"/>
    <s v="Marketing &amp; Sales"/>
    <s v="Executive"/>
    <n v="4000"/>
    <m/>
    <n v="39000"/>
    <m/>
    <s v="Active"/>
    <s v="Pioneer Denim Limited"/>
    <s v="Marketing &amp; Sales"/>
    <s v="Assistant Manager"/>
    <n v="39000"/>
    <n v="10000"/>
    <m/>
    <n v="49000"/>
    <m/>
  </r>
  <r>
    <x v="145"/>
    <x v="144"/>
    <m/>
    <n v="0"/>
    <s v="Inactive"/>
    <x v="1"/>
    <x v="4"/>
    <s v="Inactive"/>
    <x v="5"/>
    <s v="Inactive"/>
    <n v="0"/>
    <m/>
    <s v="Active"/>
    <s v="BTL/KYL"/>
    <s v="Import"/>
    <s v="Sr. Executive"/>
    <n v="2000"/>
    <m/>
    <n v="42000"/>
    <m/>
    <s v="Inactive"/>
    <m/>
    <m/>
    <m/>
    <n v="42000"/>
    <m/>
    <m/>
    <n v="42000"/>
    <m/>
  </r>
  <r>
    <x v="146"/>
    <x v="145"/>
    <m/>
    <n v="0"/>
    <s v="Inactive"/>
    <x v="1"/>
    <x v="4"/>
    <s v="Inactive"/>
    <x v="5"/>
    <s v="Inactive"/>
    <n v="0"/>
    <m/>
    <s v="Active"/>
    <s v="BTL/KYL"/>
    <s v="Administration"/>
    <s v="Peon"/>
    <n v="0"/>
    <m/>
    <n v="10000"/>
    <m/>
    <s v="Active"/>
    <s v="BTL/KYL"/>
    <s v="Administration"/>
    <s v="Peon"/>
    <n v="10000"/>
    <n v="2000"/>
    <m/>
    <n v="12000"/>
    <m/>
  </r>
  <r>
    <x v="147"/>
    <x v="146"/>
    <m/>
    <n v="0"/>
    <s v="Inactive"/>
    <x v="1"/>
    <x v="4"/>
    <s v="Inactive"/>
    <x v="5"/>
    <s v="Inactive"/>
    <n v="0"/>
    <m/>
    <s v="Active"/>
    <s v="Pioneer Denim Limited"/>
    <s v="Finance &amp; Accounts"/>
    <s v="Officer"/>
    <n v="5000"/>
    <m/>
    <n v="30000"/>
    <m/>
    <s v="Active"/>
    <s v="Pioneer Denim Limited"/>
    <s v="Finance &amp; Accounts"/>
    <s v="Officer"/>
    <n v="30000"/>
    <n v="6000"/>
    <m/>
    <n v="36000"/>
    <m/>
  </r>
  <r>
    <x v="148"/>
    <x v="147"/>
    <m/>
    <n v="0"/>
    <s v="Inactive"/>
    <x v="1"/>
    <x v="4"/>
    <s v="Inactive"/>
    <x v="5"/>
    <s v="Inactive"/>
    <n v="0"/>
    <m/>
    <s v="Active"/>
    <s v="Pioneer Denim Limited"/>
    <s v="Finance &amp; Accounts"/>
    <s v="Trainee Officer"/>
    <n v="6000"/>
    <m/>
    <n v="22000"/>
    <m/>
    <s v="Active"/>
    <s v="Pioneer Denim Limited"/>
    <s v="Finance &amp; Accounts"/>
    <s v="Trainee Officer"/>
    <n v="22000"/>
    <n v="5000"/>
    <m/>
    <n v="27000"/>
    <m/>
  </r>
  <r>
    <x v="149"/>
    <x v="148"/>
    <m/>
    <n v="0"/>
    <s v="Inactive"/>
    <x v="1"/>
    <x v="4"/>
    <s v="Inactive"/>
    <x v="5"/>
    <s v="Inactive"/>
    <n v="0"/>
    <m/>
    <s v="Active"/>
    <s v="Pioneer Denim Limited"/>
    <s v="Finance &amp; Accounts"/>
    <s v="Trainee Officer"/>
    <n v="5000"/>
    <m/>
    <n v="15000"/>
    <m/>
    <s v="Active"/>
    <s v="Pioneer Denim Limited"/>
    <s v="Finance &amp; Accounts"/>
    <s v="Trainee Officer"/>
    <n v="15000"/>
    <n v="7000"/>
    <m/>
    <n v="22000"/>
    <m/>
  </r>
  <r>
    <x v="150"/>
    <x v="149"/>
    <m/>
    <n v="0"/>
    <s v="Inactive"/>
    <x v="1"/>
    <x v="4"/>
    <s v="Inactive"/>
    <x v="5"/>
    <s v="Inactive"/>
    <n v="0"/>
    <m/>
    <s v="Active"/>
    <s v="Pioneer Denim Limited"/>
    <s v="Finance &amp; Accounts"/>
    <s v="Manager"/>
    <n v="15000"/>
    <m/>
    <n v="80000"/>
    <m/>
    <s v="Active"/>
    <s v="Pioneer Denim Limited"/>
    <s v="Finance &amp; Accounts"/>
    <s v="Manager"/>
    <n v="80000"/>
    <n v="8000"/>
    <m/>
    <n v="88000"/>
    <m/>
  </r>
  <r>
    <x v="151"/>
    <x v="150"/>
    <m/>
    <n v="0"/>
    <s v="Inactive"/>
    <x v="1"/>
    <x v="4"/>
    <s v="Inactive"/>
    <x v="5"/>
    <s v="Inactive"/>
    <n v="0"/>
    <m/>
    <s v="Active"/>
    <s v="Pioneer Denim Limited"/>
    <s v="Audit"/>
    <s v="Officer"/>
    <n v="3000"/>
    <m/>
    <n v="38000"/>
    <m/>
    <s v="Inactive"/>
    <m/>
    <m/>
    <m/>
    <n v="38000"/>
    <m/>
    <m/>
    <n v="38000"/>
    <m/>
  </r>
  <r>
    <x v="152"/>
    <x v="151"/>
    <m/>
    <n v="0"/>
    <s v="Inactive"/>
    <x v="1"/>
    <x v="4"/>
    <s v="Inactive"/>
    <x v="5"/>
    <s v="Inactive"/>
    <n v="0"/>
    <m/>
    <s v="Active"/>
    <s v="Pioneer Denim Limited"/>
    <s v="Procurement"/>
    <s v="Trainee Officer"/>
    <n v="5000"/>
    <m/>
    <n v="23000"/>
    <m/>
    <s v="Active"/>
    <s v="Pioneer Denim Limited"/>
    <s v="Procurement"/>
    <s v="Executive"/>
    <n v="23000"/>
    <n v="5000"/>
    <m/>
    <n v="28000"/>
    <m/>
  </r>
  <r>
    <x v="153"/>
    <x v="152"/>
    <m/>
    <n v="0"/>
    <s v="Inactive"/>
    <x v="1"/>
    <x v="4"/>
    <s v="Inactive"/>
    <x v="5"/>
    <s v="Inactive"/>
    <n v="0"/>
    <m/>
    <s v="Active"/>
    <s v="Pioneer Denim Limited"/>
    <s v="Procurement"/>
    <s v="Assistant Manager"/>
    <n v="3000"/>
    <m/>
    <n v="40000"/>
    <m/>
    <s v="Active"/>
    <s v="Pioneer Denim Limited"/>
    <s v="Procurement"/>
    <s v="Assistant Manager"/>
    <n v="40000"/>
    <n v="4000"/>
    <m/>
    <n v="44000"/>
    <m/>
  </r>
  <r>
    <x v="154"/>
    <x v="153"/>
    <m/>
    <n v="0"/>
    <s v="Inactive"/>
    <x v="1"/>
    <x v="4"/>
    <s v="Inactive"/>
    <x v="5"/>
    <s v="Inactive"/>
    <n v="0"/>
    <m/>
    <s v="Active"/>
    <s v="Pioneer Denim Limited"/>
    <s v="Procurement"/>
    <s v="Executive"/>
    <n v="3000"/>
    <m/>
    <n v="33000"/>
    <m/>
    <s v="Active"/>
    <s v="Pioneer Denim Limited"/>
    <s v="Procurement"/>
    <s v="Executive"/>
    <n v="33000"/>
    <n v="5000"/>
    <m/>
    <n v="38000"/>
    <m/>
  </r>
  <r>
    <x v="155"/>
    <x v="154"/>
    <m/>
    <n v="0"/>
    <s v="Inactive"/>
    <x v="1"/>
    <x v="4"/>
    <s v="Inactive"/>
    <x v="5"/>
    <s v="Inactive"/>
    <n v="0"/>
    <m/>
    <s v="Active"/>
    <s v="Pioneer Denim Limited"/>
    <s v="Commercial"/>
    <s v="Messenger"/>
    <n v="4000"/>
    <m/>
    <n v="15000"/>
    <m/>
    <s v="Active"/>
    <s v="Pioneer Denim Limited"/>
    <s v="Commercial"/>
    <s v="Messenger"/>
    <n v="15000"/>
    <n v="5000"/>
    <m/>
    <n v="20000"/>
    <m/>
  </r>
  <r>
    <x v="156"/>
    <x v="155"/>
    <m/>
    <n v="0"/>
    <s v="Inactive"/>
    <x v="1"/>
    <x v="4"/>
    <s v="Inactive"/>
    <x v="5"/>
    <s v="Inactive"/>
    <n v="0"/>
    <m/>
    <s v="Active"/>
    <s v="Pioneer Denim Limited"/>
    <s v="Commercial"/>
    <s v="Trainee Officer"/>
    <n v="5000"/>
    <m/>
    <n v="20000"/>
    <m/>
    <s v="Active"/>
    <s v="Pioneer Denim Limited"/>
    <s v="Commercial"/>
    <s v="Trainee Officer"/>
    <n v="20000"/>
    <n v="5000"/>
    <m/>
    <n v="25000"/>
    <m/>
  </r>
  <r>
    <x v="157"/>
    <x v="156"/>
    <m/>
    <n v="0"/>
    <s v="Inactive"/>
    <x v="1"/>
    <x v="4"/>
    <s v="Inactive"/>
    <x v="5"/>
    <s v="Inactive"/>
    <n v="0"/>
    <m/>
    <s v="Active"/>
    <s v="Pioneer Denim Limited"/>
    <s v="Commercial"/>
    <s v="Trainee Officer"/>
    <n v="5000"/>
    <m/>
    <n v="20000"/>
    <m/>
    <s v="Active"/>
    <s v="Pioneer Denim Limited"/>
    <s v="Commercial"/>
    <s v="Trainee Officer"/>
    <n v="20000"/>
    <n v="5000"/>
    <m/>
    <n v="25000"/>
    <m/>
  </r>
  <r>
    <x v="158"/>
    <x v="157"/>
    <m/>
    <n v="0"/>
    <s v="Inactive"/>
    <x v="1"/>
    <x v="4"/>
    <s v="Inactive"/>
    <x v="5"/>
    <s v="Inactive"/>
    <n v="0"/>
    <m/>
    <s v="Active"/>
    <s v="Pioneer Denim Limited"/>
    <s v="Import"/>
    <s v="Executive"/>
    <n v="4000"/>
    <m/>
    <n v="24000"/>
    <m/>
    <s v="Inactive"/>
    <m/>
    <m/>
    <m/>
    <n v="24000"/>
    <m/>
    <m/>
    <n v="24000"/>
    <m/>
  </r>
  <r>
    <x v="159"/>
    <x v="158"/>
    <m/>
    <n v="0"/>
    <n v="0"/>
    <x v="3"/>
    <x v="12"/>
    <n v="0"/>
    <x v="5"/>
    <n v="0"/>
    <n v="0"/>
    <m/>
    <s v="Active"/>
    <s v="Pioneer Denim Limited"/>
    <s v="Marketing"/>
    <s v="Deputy General Manager"/>
    <n v="0"/>
    <m/>
    <n v="350000"/>
    <m/>
    <s v="Active"/>
    <s v="Pioneer Denim Limited"/>
    <s v="Marketing"/>
    <s v="Deputy General Manager"/>
    <n v="350000"/>
    <n v="10000"/>
    <m/>
    <n v="360000"/>
    <m/>
  </r>
  <r>
    <x v="160"/>
    <x v="159"/>
    <m/>
    <n v="0"/>
    <n v="0"/>
    <x v="3"/>
    <x v="12"/>
    <n v="0"/>
    <x v="5"/>
    <n v="0"/>
    <n v="0"/>
    <m/>
    <s v="Active"/>
    <s v="Pioneer Denim Limited"/>
    <s v="Marketing"/>
    <s v="ARM"/>
    <n v="5000"/>
    <m/>
    <n v="68000"/>
    <s v="Special 8000"/>
    <s v="Active"/>
    <s v="Pioneer Denim Limited"/>
    <s v="Marketing"/>
    <s v="RM"/>
    <n v="100000"/>
    <n v="0"/>
    <m/>
    <n v="100000"/>
    <s v="Special 32k"/>
  </r>
  <r>
    <x v="161"/>
    <x v="160"/>
    <m/>
    <n v="0"/>
    <n v="0"/>
    <x v="3"/>
    <x v="12"/>
    <n v="0"/>
    <x v="5"/>
    <n v="0"/>
    <n v="0"/>
    <m/>
    <s v="Active"/>
    <s v="Pioneer Denim Limited"/>
    <s v="Marketing"/>
    <s v="JRM"/>
    <n v="5000"/>
    <m/>
    <n v="30000"/>
    <m/>
    <s v="Active"/>
    <s v="Pioneer Denim Limited"/>
    <s v="Marketing"/>
    <s v="JRM"/>
    <n v="30000"/>
    <n v="5000"/>
    <m/>
    <n v="35000"/>
    <m/>
  </r>
  <r>
    <x v="162"/>
    <x v="161"/>
    <m/>
    <n v="0"/>
    <n v="0"/>
    <x v="3"/>
    <x v="12"/>
    <n v="0"/>
    <x v="5"/>
    <n v="0"/>
    <m/>
    <m/>
    <s v="Active"/>
    <s v="Pioneer Denim Limited"/>
    <s v="Marketing"/>
    <s v="ARM"/>
    <n v="4000"/>
    <m/>
    <n v="50000"/>
    <s v="Special 6000"/>
    <s v="Active"/>
    <s v="Pioneer Denim Limited"/>
    <s v="Marketing"/>
    <s v="ARM"/>
    <n v="50000"/>
    <n v="13000"/>
    <m/>
    <n v="63000"/>
    <m/>
  </r>
  <r>
    <x v="163"/>
    <x v="162"/>
    <m/>
    <n v="0"/>
    <n v="0"/>
    <x v="3"/>
    <x v="12"/>
    <n v="0"/>
    <x v="5"/>
    <n v="0"/>
    <n v="0"/>
    <m/>
    <s v="Active"/>
    <s v="Pioneer Denim Limited"/>
    <s v="Administration"/>
    <s v="Messenger"/>
    <n v="3000"/>
    <m/>
    <n v="14000"/>
    <m/>
    <s v="Inactive"/>
    <m/>
    <m/>
    <m/>
    <n v="14000"/>
    <m/>
    <m/>
    <n v="14000"/>
    <m/>
  </r>
  <r>
    <x v="164"/>
    <x v="163"/>
    <m/>
    <n v="0"/>
    <n v="0"/>
    <x v="3"/>
    <x v="12"/>
    <n v="0"/>
    <x v="5"/>
    <n v="0"/>
    <n v="0"/>
    <m/>
    <s v="Active"/>
    <s v="Pioneer Denim Limited"/>
    <s v="Administration"/>
    <s v="Cleaner"/>
    <n v="3000"/>
    <m/>
    <n v="15000"/>
    <m/>
    <s v="Active"/>
    <s v="Pioneer Denim Limited"/>
    <s v="Administration"/>
    <s v="Cleaner"/>
    <n v="15000"/>
    <n v="2000"/>
    <m/>
    <n v="17000"/>
    <m/>
  </r>
  <r>
    <x v="165"/>
    <x v="164"/>
    <m/>
    <n v="0"/>
    <n v="0"/>
    <x v="3"/>
    <x v="12"/>
    <n v="0"/>
    <x v="5"/>
    <n v="0"/>
    <n v="0"/>
    <m/>
    <s v="Active"/>
    <s v="Pioneer Denim Limited"/>
    <s v="Marketing"/>
    <s v="JRM"/>
    <n v="7000"/>
    <m/>
    <n v="25000"/>
    <m/>
    <s v="Active"/>
    <s v="Pioneer Denim Limited"/>
    <s v="Marketing"/>
    <s v="JRM"/>
    <n v="25000"/>
    <n v="5000"/>
    <m/>
    <n v="30000"/>
    <m/>
  </r>
  <r>
    <x v="166"/>
    <x v="165"/>
    <m/>
    <n v="0"/>
    <n v="0"/>
    <x v="3"/>
    <x v="12"/>
    <n v="0"/>
    <x v="5"/>
    <n v="0"/>
    <n v="0"/>
    <m/>
    <s v="Active"/>
    <s v="Pioneer Denim Limited"/>
    <s v="Marketing"/>
    <s v="ARM"/>
    <n v="0"/>
    <m/>
    <n v="55000"/>
    <m/>
    <s v="Active"/>
    <s v="Pioneer Denim Limited"/>
    <s v="Marketing"/>
    <s v="ARM"/>
    <n v="55000"/>
    <n v="7000"/>
    <m/>
    <n v="62000"/>
    <m/>
  </r>
  <r>
    <x v="167"/>
    <x v="166"/>
    <m/>
    <n v="0"/>
    <n v="0"/>
    <x v="3"/>
    <x v="12"/>
    <n v="0"/>
    <x v="5"/>
    <n v="0"/>
    <n v="0"/>
    <m/>
    <s v="Active"/>
    <s v="Pioneer Denim Limited"/>
    <s v="Marketing"/>
    <s v="JRM"/>
    <n v="5000"/>
    <m/>
    <n v="20000"/>
    <m/>
    <s v="Inactive"/>
    <m/>
    <m/>
    <m/>
    <n v="0"/>
    <m/>
    <m/>
    <m/>
    <m/>
  </r>
  <r>
    <x v="168"/>
    <x v="167"/>
    <m/>
    <n v="0"/>
    <n v="0"/>
    <x v="3"/>
    <x v="12"/>
    <n v="0"/>
    <x v="5"/>
    <n v="0"/>
    <n v="0"/>
    <m/>
    <s v="Active"/>
    <s v="Pioneer Denim Limited"/>
    <s v="Commercial"/>
    <s v="Trainee Officer"/>
    <n v="5000"/>
    <m/>
    <n v="17000"/>
    <m/>
    <s v="Active"/>
    <s v="Pioneer Denim Limited"/>
    <s v="Commercial"/>
    <s v="Trainee Officer"/>
    <n v="17000"/>
    <n v="5000"/>
    <m/>
    <n v="22000"/>
    <m/>
  </r>
  <r>
    <x v="169"/>
    <x v="168"/>
    <m/>
    <n v="0"/>
    <n v="0"/>
    <x v="3"/>
    <x v="12"/>
    <n v="0"/>
    <x v="5"/>
    <n v="0"/>
    <n v="0"/>
    <m/>
    <s v="Active"/>
    <s v="Pioneer Denim Limited"/>
    <s v="Commercial"/>
    <s v="Trainee Officer"/>
    <n v="0"/>
    <m/>
    <n v="15000"/>
    <m/>
    <m/>
    <m/>
    <m/>
    <m/>
    <n v="0"/>
    <m/>
    <m/>
    <m/>
    <m/>
  </r>
  <r>
    <x v="170"/>
    <x v="169"/>
    <m/>
    <n v="0"/>
    <n v="0"/>
    <x v="3"/>
    <x v="12"/>
    <n v="0"/>
    <x v="5"/>
    <n v="0"/>
    <n v="0"/>
    <m/>
    <s v="Active"/>
    <s v="Pioneer Denim Limited"/>
    <s v="Costing"/>
    <s v="Head of Costing"/>
    <n v="0"/>
    <m/>
    <n v="150000"/>
    <m/>
    <s v="Active"/>
    <s v="Pioneer Denim Limited"/>
    <s v="Commercial"/>
    <s v="Head of Costing"/>
    <n v="150000"/>
    <n v="3000"/>
    <m/>
    <n v="153000"/>
    <m/>
  </r>
  <r>
    <x v="171"/>
    <x v="170"/>
    <m/>
    <m/>
    <m/>
    <x v="4"/>
    <x v="13"/>
    <m/>
    <x v="2"/>
    <m/>
    <m/>
    <m/>
    <m/>
    <m/>
    <m/>
    <m/>
    <m/>
    <m/>
    <m/>
    <m/>
    <s v="Active"/>
    <s v="Pioneer Denim Limited"/>
    <s v="Commercial"/>
    <s v="Trainee Officer"/>
    <n v="15000"/>
    <n v="7000"/>
    <m/>
    <n v="22000"/>
    <m/>
  </r>
  <r>
    <x v="172"/>
    <x v="171"/>
    <m/>
    <m/>
    <m/>
    <x v="4"/>
    <x v="13"/>
    <m/>
    <x v="2"/>
    <m/>
    <m/>
    <m/>
    <m/>
    <m/>
    <m/>
    <m/>
    <m/>
    <m/>
    <m/>
    <m/>
    <s v="Active"/>
    <s v="Pioneer Denim Limited"/>
    <s v="Commercial"/>
    <s v="Trainee Officer"/>
    <n v="15000"/>
    <n v="5000"/>
    <m/>
    <n v="20000"/>
    <m/>
  </r>
  <r>
    <x v="173"/>
    <x v="172"/>
    <m/>
    <m/>
    <m/>
    <x v="4"/>
    <x v="13"/>
    <m/>
    <x v="2"/>
    <m/>
    <m/>
    <m/>
    <m/>
    <m/>
    <m/>
    <m/>
    <m/>
    <m/>
    <m/>
    <m/>
    <s v="Active"/>
    <s v="Pioneer Denim Limited"/>
    <s v="Commercial"/>
    <s v="Trainee Officer"/>
    <n v="15000"/>
    <n v="5000"/>
    <m/>
    <n v="20000"/>
    <m/>
  </r>
  <r>
    <x v="174"/>
    <x v="173"/>
    <m/>
    <m/>
    <m/>
    <x v="4"/>
    <x v="13"/>
    <m/>
    <x v="2"/>
    <m/>
    <m/>
    <m/>
    <m/>
    <m/>
    <m/>
    <m/>
    <m/>
    <m/>
    <m/>
    <m/>
    <s v="Active"/>
    <s v="Pioneer Denim Limited"/>
    <s v="Commercial"/>
    <s v="Trainee Officer"/>
    <n v="15000"/>
    <n v="5000"/>
    <m/>
    <n v="20000"/>
    <m/>
  </r>
  <r>
    <x v="175"/>
    <x v="174"/>
    <m/>
    <m/>
    <m/>
    <x v="4"/>
    <x v="13"/>
    <m/>
    <x v="2"/>
    <m/>
    <m/>
    <m/>
    <m/>
    <m/>
    <m/>
    <m/>
    <m/>
    <m/>
    <m/>
    <m/>
    <s v="Active"/>
    <s v="Pioneer Denim Limited"/>
    <s v="Commercial"/>
    <s v="Messenger"/>
    <n v="11000"/>
    <n v="5000"/>
    <m/>
    <n v="16000"/>
    <m/>
  </r>
  <r>
    <x v="176"/>
    <x v="175"/>
    <m/>
    <m/>
    <m/>
    <x v="4"/>
    <x v="13"/>
    <m/>
    <x v="2"/>
    <m/>
    <m/>
    <m/>
    <m/>
    <m/>
    <m/>
    <m/>
    <m/>
    <m/>
    <m/>
    <m/>
    <s v="Active"/>
    <s v="Pioneer Denim Limited"/>
    <s v="Commercial"/>
    <s v="Assistant Manager"/>
    <n v="52000"/>
    <n v="0"/>
    <m/>
    <n v="52000"/>
    <m/>
  </r>
  <r>
    <x v="177"/>
    <x v="176"/>
    <m/>
    <m/>
    <m/>
    <x v="4"/>
    <x v="13"/>
    <m/>
    <x v="2"/>
    <m/>
    <m/>
    <m/>
    <m/>
    <m/>
    <m/>
    <m/>
    <m/>
    <m/>
    <m/>
    <m/>
    <s v="Active"/>
    <s v="Pioneer Denim Limited"/>
    <s v="Costing"/>
    <s v="Assistant Manager"/>
    <n v="42000"/>
    <n v="0"/>
    <m/>
    <n v="42000"/>
    <m/>
  </r>
  <r>
    <x v="178"/>
    <x v="177"/>
    <m/>
    <m/>
    <m/>
    <x v="4"/>
    <x v="13"/>
    <m/>
    <x v="1"/>
    <m/>
    <n v="52000"/>
    <m/>
    <m/>
    <m/>
    <m/>
    <m/>
    <n v="8000"/>
    <m/>
    <n v="60000"/>
    <m/>
    <s v="Active"/>
    <s v="Pioneer Denim Limited"/>
    <s v="Customs"/>
    <s v="Manager"/>
    <n v="60000"/>
    <n v="10000"/>
    <m/>
    <n v="70000"/>
    <m/>
  </r>
  <r>
    <x v="179"/>
    <x v="178"/>
    <m/>
    <m/>
    <m/>
    <x v="4"/>
    <x v="13"/>
    <m/>
    <x v="2"/>
    <m/>
    <m/>
    <m/>
    <m/>
    <m/>
    <m/>
    <m/>
    <n v="6000"/>
    <m/>
    <n v="30000"/>
    <m/>
    <s v="Active"/>
    <s v="Pioneer Denim Limited"/>
    <s v="Customs"/>
    <s v="Executive"/>
    <n v="30000"/>
    <n v="5000"/>
    <m/>
    <n v="35000"/>
    <m/>
  </r>
  <r>
    <x v="180"/>
    <x v="179"/>
    <m/>
    <m/>
    <m/>
    <x v="4"/>
    <x v="13"/>
    <m/>
    <x v="2"/>
    <m/>
    <m/>
    <m/>
    <m/>
    <m/>
    <m/>
    <m/>
    <m/>
    <m/>
    <m/>
    <m/>
    <s v="Active"/>
    <s v="Pioneer Denim Limited"/>
    <s v="Administration"/>
    <s v="Messenger"/>
    <n v="12000"/>
    <n v="0"/>
    <m/>
    <n v="12000"/>
    <m/>
  </r>
  <r>
    <x v="181"/>
    <x v="180"/>
    <m/>
    <m/>
    <m/>
    <x v="4"/>
    <x v="13"/>
    <m/>
    <x v="2"/>
    <m/>
    <m/>
    <m/>
    <m/>
    <m/>
    <m/>
    <m/>
    <m/>
    <m/>
    <m/>
    <m/>
    <s v="Active"/>
    <s v="Pioneer Denim Limited"/>
    <s v="Administration"/>
    <s v="Messenger"/>
    <n v="12000"/>
    <n v="5000"/>
    <m/>
    <n v="17000"/>
    <m/>
  </r>
  <r>
    <x v="182"/>
    <x v="181"/>
    <m/>
    <m/>
    <m/>
    <x v="4"/>
    <x v="13"/>
    <m/>
    <x v="2"/>
    <m/>
    <m/>
    <m/>
    <m/>
    <m/>
    <m/>
    <m/>
    <m/>
    <m/>
    <m/>
    <m/>
    <s v="Active"/>
    <s v="Pioneer Denim Limited"/>
    <s v="Finance &amp; Accounts"/>
    <s v="Manager"/>
    <n v="120000"/>
    <n v="5000"/>
    <m/>
    <n v="125000"/>
    <m/>
  </r>
  <r>
    <x v="183"/>
    <x v="182"/>
    <m/>
    <m/>
    <m/>
    <x v="4"/>
    <x v="13"/>
    <m/>
    <x v="2"/>
    <m/>
    <m/>
    <m/>
    <m/>
    <m/>
    <m/>
    <m/>
    <m/>
    <m/>
    <m/>
    <m/>
    <s v="Active"/>
    <s v="Pioneer Denim Limited"/>
    <s v="Finance &amp; Accounts"/>
    <s v="Jr. Officer"/>
    <n v="10000"/>
    <n v="5000"/>
    <m/>
    <n v="15000"/>
    <m/>
  </r>
  <r>
    <x v="184"/>
    <x v="183"/>
    <m/>
    <m/>
    <m/>
    <x v="4"/>
    <x v="13"/>
    <m/>
    <x v="2"/>
    <m/>
    <m/>
    <m/>
    <m/>
    <m/>
    <m/>
    <m/>
    <m/>
    <m/>
    <m/>
    <m/>
    <s v="Active"/>
    <s v="Pioneer Denim Limited"/>
    <s v="Import"/>
    <s v="Officer"/>
    <n v="15000"/>
    <n v="5000"/>
    <m/>
    <n v="20000"/>
    <m/>
  </r>
  <r>
    <x v="185"/>
    <x v="184"/>
    <m/>
    <m/>
    <m/>
    <x v="4"/>
    <x v="13"/>
    <m/>
    <x v="2"/>
    <m/>
    <m/>
    <m/>
    <m/>
    <m/>
    <m/>
    <m/>
    <m/>
    <m/>
    <m/>
    <m/>
    <s v="Active"/>
    <s v="Pioneer Denim Limited"/>
    <s v="Information Technology"/>
    <s v="Head of IT"/>
    <n v="70000"/>
    <n v="0"/>
    <m/>
    <n v="70000"/>
    <m/>
  </r>
  <r>
    <x v="186"/>
    <x v="185"/>
    <m/>
    <m/>
    <m/>
    <x v="4"/>
    <x v="13"/>
    <m/>
    <x v="2"/>
    <m/>
    <m/>
    <m/>
    <m/>
    <m/>
    <m/>
    <m/>
    <m/>
    <m/>
    <m/>
    <m/>
    <s v="Active"/>
    <s v="Pioneer Denim Limited"/>
    <s v="Information Technology"/>
    <s v="Software Engineer"/>
    <n v="40000"/>
    <n v="0"/>
    <m/>
    <n v="40000"/>
    <m/>
  </r>
  <r>
    <x v="187"/>
    <x v="186"/>
    <m/>
    <m/>
    <m/>
    <x v="4"/>
    <x v="13"/>
    <m/>
    <x v="2"/>
    <m/>
    <m/>
    <m/>
    <m/>
    <m/>
    <m/>
    <m/>
    <m/>
    <m/>
    <m/>
    <m/>
    <s v="Active"/>
    <s v="Pioneer Denim Limited"/>
    <s v="Information Technology"/>
    <s v="Software Engineer"/>
    <n v="45000"/>
    <n v="0"/>
    <m/>
    <n v="45000"/>
    <m/>
  </r>
  <r>
    <x v="188"/>
    <x v="187"/>
    <m/>
    <m/>
    <m/>
    <x v="4"/>
    <x v="13"/>
    <m/>
    <x v="2"/>
    <m/>
    <m/>
    <m/>
    <m/>
    <m/>
    <m/>
    <m/>
    <m/>
    <m/>
    <m/>
    <m/>
    <s v="Active"/>
    <s v="Pioneer Denim Limited"/>
    <s v="Audit"/>
    <s v="Executive"/>
    <n v="28000"/>
    <n v="0"/>
    <m/>
    <n v="28000"/>
    <m/>
  </r>
  <r>
    <x v="189"/>
    <x v="188"/>
    <m/>
    <m/>
    <m/>
    <x v="4"/>
    <x v="13"/>
    <m/>
    <x v="2"/>
    <m/>
    <m/>
    <m/>
    <m/>
    <m/>
    <m/>
    <m/>
    <m/>
    <m/>
    <m/>
    <m/>
    <s v="Active"/>
    <s v="Pioneer Denim Limited"/>
    <s v="Audit"/>
    <s v="Executive"/>
    <n v="28000"/>
    <n v="0"/>
    <m/>
    <n v="28000"/>
    <m/>
  </r>
  <r>
    <x v="190"/>
    <x v="189"/>
    <m/>
    <m/>
    <m/>
    <x v="4"/>
    <x v="13"/>
    <m/>
    <x v="2"/>
    <m/>
    <m/>
    <m/>
    <m/>
    <m/>
    <m/>
    <m/>
    <m/>
    <m/>
    <m/>
    <m/>
    <s v="Active"/>
    <s v="Pioneer Denim Limited"/>
    <s v="Audit"/>
    <s v="Manager"/>
    <n v="63000"/>
    <n v="0"/>
    <m/>
    <n v="63000"/>
    <m/>
  </r>
  <r>
    <x v="191"/>
    <x v="190"/>
    <m/>
    <m/>
    <m/>
    <x v="4"/>
    <x v="13"/>
    <m/>
    <x v="2"/>
    <m/>
    <m/>
    <m/>
    <m/>
    <m/>
    <m/>
    <m/>
    <m/>
    <m/>
    <m/>
    <m/>
    <s v="Active"/>
    <s v="Pioneer Denim Limited"/>
    <s v="Marketing"/>
    <s v="Deputy General Manager"/>
    <n v="300000"/>
    <n v="0"/>
    <m/>
    <n v="300000"/>
    <m/>
  </r>
  <r>
    <x v="192"/>
    <x v="191"/>
    <m/>
    <m/>
    <m/>
    <x v="4"/>
    <x v="13"/>
    <m/>
    <x v="2"/>
    <m/>
    <m/>
    <m/>
    <m/>
    <m/>
    <m/>
    <m/>
    <m/>
    <m/>
    <m/>
    <m/>
    <s v="Active"/>
    <s v="Pioneer Denim Limited"/>
    <s v="Marketing"/>
    <s v="ARM"/>
    <n v="70000"/>
    <n v="0"/>
    <m/>
    <n v="70000"/>
    <m/>
  </r>
  <r>
    <x v="193"/>
    <x v="192"/>
    <m/>
    <m/>
    <m/>
    <x v="4"/>
    <x v="13"/>
    <m/>
    <x v="2"/>
    <m/>
    <m/>
    <m/>
    <m/>
    <m/>
    <m/>
    <m/>
    <m/>
    <m/>
    <m/>
    <m/>
    <s v="Active"/>
    <s v="Pioneer Denim Limited"/>
    <s v="Marketing"/>
    <s v="JRM"/>
    <n v="15000"/>
    <n v="7000"/>
    <m/>
    <n v="22000"/>
    <m/>
  </r>
  <r>
    <x v="194"/>
    <x v="193"/>
    <m/>
    <m/>
    <m/>
    <x v="4"/>
    <x v="13"/>
    <m/>
    <x v="2"/>
    <m/>
    <m/>
    <m/>
    <m/>
    <m/>
    <m/>
    <m/>
    <m/>
    <m/>
    <m/>
    <m/>
    <s v="Active"/>
    <s v="Pioneer Denim Limited"/>
    <s v="Marketing"/>
    <s v="Trainee Officer"/>
    <n v="15000"/>
    <n v="7000"/>
    <m/>
    <n v="22000"/>
    <m/>
  </r>
  <r>
    <x v="195"/>
    <x v="194"/>
    <m/>
    <m/>
    <m/>
    <x v="4"/>
    <x v="13"/>
    <m/>
    <x v="2"/>
    <m/>
    <m/>
    <m/>
    <m/>
    <m/>
    <m/>
    <m/>
    <m/>
    <m/>
    <m/>
    <m/>
    <s v="Active"/>
    <s v="Pioneer Denim Limited"/>
    <s v="Marketing"/>
    <s v="RM"/>
    <n v="125000"/>
    <n v="0"/>
    <m/>
    <n v="125000"/>
    <m/>
  </r>
  <r>
    <x v="196"/>
    <x v="195"/>
    <m/>
    <m/>
    <m/>
    <x v="4"/>
    <x v="13"/>
    <m/>
    <x v="2"/>
    <m/>
    <m/>
    <m/>
    <m/>
    <m/>
    <m/>
    <m/>
    <m/>
    <m/>
    <m/>
    <m/>
    <s v="Active"/>
    <s v="Pioneer Denim Limited"/>
    <s v="Marketing"/>
    <s v="ARM"/>
    <n v="80000"/>
    <n v="0"/>
    <m/>
    <n v="80000"/>
    <m/>
  </r>
  <r>
    <x v="197"/>
    <x v="196"/>
    <m/>
    <m/>
    <m/>
    <x v="4"/>
    <x v="13"/>
    <m/>
    <x v="2"/>
    <m/>
    <m/>
    <m/>
    <m/>
    <m/>
    <m/>
    <m/>
    <m/>
    <m/>
    <m/>
    <m/>
    <s v="Active"/>
    <s v="Pioneer Denim Limited"/>
    <s v="Marketing"/>
    <s v="JRM"/>
    <n v="15000"/>
    <n v="10000"/>
    <m/>
    <n v="25000"/>
    <m/>
  </r>
  <r>
    <x v="198"/>
    <x v="197"/>
    <m/>
    <m/>
    <m/>
    <x v="4"/>
    <x v="13"/>
    <m/>
    <x v="2"/>
    <m/>
    <m/>
    <m/>
    <m/>
    <m/>
    <m/>
    <m/>
    <m/>
    <m/>
    <m/>
    <m/>
    <s v="Active"/>
    <s v="Pioneer Denim Limited"/>
    <s v="Marketing"/>
    <s v="JRM"/>
    <n v="40000"/>
    <n v="5000"/>
    <m/>
    <n v="45000"/>
    <m/>
  </r>
  <r>
    <x v="199"/>
    <x v="198"/>
    <m/>
    <m/>
    <m/>
    <x v="4"/>
    <x v="13"/>
    <m/>
    <x v="2"/>
    <m/>
    <m/>
    <m/>
    <m/>
    <m/>
    <m/>
    <m/>
    <m/>
    <m/>
    <m/>
    <m/>
    <s v="Active"/>
    <s v="Pioneer Denim Limited"/>
    <s v="Marketing"/>
    <s v="Deputy General Manager"/>
    <n v="225000"/>
    <n v="0"/>
    <m/>
    <n v="225000"/>
    <m/>
  </r>
  <r>
    <x v="200"/>
    <x v="199"/>
    <m/>
    <m/>
    <m/>
    <x v="4"/>
    <x v="13"/>
    <m/>
    <x v="2"/>
    <m/>
    <m/>
    <m/>
    <m/>
    <m/>
    <m/>
    <m/>
    <m/>
    <m/>
    <m/>
    <m/>
    <s v="Active"/>
    <s v="Pioneer Denim Limited"/>
    <s v="Marketing"/>
    <s v="RM"/>
    <n v="90000"/>
    <n v="0"/>
    <m/>
    <n v="90000"/>
    <m/>
  </r>
  <r>
    <x v="201"/>
    <x v="200"/>
    <m/>
    <m/>
    <m/>
    <x v="4"/>
    <x v="13"/>
    <m/>
    <x v="2"/>
    <m/>
    <m/>
    <m/>
    <m/>
    <m/>
    <m/>
    <m/>
    <m/>
    <m/>
    <m/>
    <m/>
    <s v="Active"/>
    <s v="Pioneer Denim Limited"/>
    <s v="Marketing"/>
    <s v="JRM"/>
    <n v="40000"/>
    <n v="5000"/>
    <m/>
    <n v="45000"/>
    <m/>
  </r>
  <r>
    <x v="202"/>
    <x v="201"/>
    <m/>
    <m/>
    <m/>
    <x v="4"/>
    <x v="13"/>
    <m/>
    <x v="2"/>
    <m/>
    <m/>
    <m/>
    <m/>
    <m/>
    <m/>
    <m/>
    <m/>
    <m/>
    <m/>
    <m/>
    <s v="Active"/>
    <s v="Pioneer Denim Limited"/>
    <s v="Marketing"/>
    <s v="Trainee Officer"/>
    <n v="15000"/>
    <n v="10000"/>
    <m/>
    <n v="25000"/>
    <m/>
  </r>
  <r>
    <x v="203"/>
    <x v="202"/>
    <m/>
    <m/>
    <m/>
    <x v="4"/>
    <x v="13"/>
    <m/>
    <x v="2"/>
    <m/>
    <m/>
    <m/>
    <m/>
    <m/>
    <m/>
    <m/>
    <m/>
    <m/>
    <m/>
    <m/>
    <s v="Active"/>
    <s v="Pioneer Denim Limited"/>
    <s v="Marketing"/>
    <s v="Trainee Officer"/>
    <n v="25000"/>
    <n v="0"/>
    <m/>
    <n v="25000"/>
    <m/>
  </r>
  <r>
    <x v="204"/>
    <x v="203"/>
    <m/>
    <m/>
    <m/>
    <x v="4"/>
    <x v="13"/>
    <m/>
    <x v="2"/>
    <m/>
    <m/>
    <m/>
    <m/>
    <m/>
    <m/>
    <m/>
    <m/>
    <m/>
    <m/>
    <m/>
    <s v="Active"/>
    <s v="Pioneer Denim Limited"/>
    <s v="Planning &amp; Coordination"/>
    <s v="Sr. Officer"/>
    <n v="41000"/>
    <n v="5000"/>
    <m/>
    <n v="46000"/>
    <m/>
  </r>
  <r>
    <x v="205"/>
    <x v="204"/>
    <m/>
    <m/>
    <m/>
    <x v="4"/>
    <x v="13"/>
    <m/>
    <x v="2"/>
    <m/>
    <m/>
    <m/>
    <m/>
    <m/>
    <m/>
    <m/>
    <m/>
    <m/>
    <m/>
    <m/>
    <s v="Active"/>
    <s v="Pioneer Denim Limited"/>
    <s v="Planning &amp; Coordination"/>
    <s v="Officer"/>
    <n v="39000"/>
    <n v="5000"/>
    <m/>
    <n v="44000"/>
    <m/>
  </r>
  <r>
    <x v="206"/>
    <x v="205"/>
    <m/>
    <m/>
    <m/>
    <x v="4"/>
    <x v="13"/>
    <m/>
    <x v="2"/>
    <m/>
    <m/>
    <m/>
    <m/>
    <m/>
    <m/>
    <m/>
    <m/>
    <m/>
    <m/>
    <m/>
    <s v="Active"/>
    <s v="Pioneer Denim Limited"/>
    <s v="Planning &amp; Coordination"/>
    <s v="Head of Planning"/>
    <n v="150000"/>
    <n v="7000"/>
    <m/>
    <n v="157000"/>
    <m/>
  </r>
  <r>
    <x v="207"/>
    <x v="206"/>
    <m/>
    <m/>
    <m/>
    <x v="4"/>
    <x v="13"/>
    <m/>
    <x v="2"/>
    <m/>
    <m/>
    <m/>
    <m/>
    <m/>
    <m/>
    <m/>
    <m/>
    <m/>
    <m/>
    <m/>
    <s v="Active"/>
    <s v="BTL/KYL"/>
    <s v="Marketing &amp; Sales"/>
    <s v="Head of Marketing - South"/>
    <n v="90000"/>
    <n v="10000"/>
    <m/>
    <n v="100000"/>
    <m/>
  </r>
  <r>
    <x v="208"/>
    <x v="207"/>
    <m/>
    <m/>
    <m/>
    <x v="4"/>
    <x v="13"/>
    <m/>
    <x v="2"/>
    <m/>
    <m/>
    <m/>
    <m/>
    <m/>
    <m/>
    <m/>
    <m/>
    <m/>
    <m/>
    <m/>
    <s v="Active"/>
    <s v="BTL/KYL"/>
    <s v="Audit"/>
    <s v="Executive"/>
    <n v="35000"/>
    <n v="0"/>
    <m/>
    <n v="35000"/>
    <m/>
  </r>
  <r>
    <x v="209"/>
    <x v="208"/>
    <m/>
    <m/>
    <m/>
    <x v="4"/>
    <x v="13"/>
    <m/>
    <x v="2"/>
    <m/>
    <m/>
    <m/>
    <m/>
    <m/>
    <m/>
    <m/>
    <m/>
    <m/>
    <m/>
    <m/>
    <s v="Active"/>
    <s v="BTL/KYL"/>
    <s v="Export Import Audit"/>
    <s v="Executive"/>
    <n v="30000"/>
    <n v="5000"/>
    <m/>
    <n v="35000"/>
    <m/>
  </r>
  <r>
    <x v="210"/>
    <x v="209"/>
    <m/>
    <m/>
    <m/>
    <x v="4"/>
    <x v="13"/>
    <m/>
    <x v="2"/>
    <m/>
    <m/>
    <m/>
    <m/>
    <m/>
    <m/>
    <m/>
    <m/>
    <m/>
    <m/>
    <m/>
    <s v="Active"/>
    <s v="BTL/KYL"/>
    <s v="Export Import Audit"/>
    <s v="Executive"/>
    <n v="28000"/>
    <n v="15000"/>
    <m/>
    <n v="43000"/>
    <m/>
  </r>
  <r>
    <x v="211"/>
    <x v="210"/>
    <m/>
    <m/>
    <m/>
    <x v="4"/>
    <x v="13"/>
    <m/>
    <x v="2"/>
    <m/>
    <m/>
    <m/>
    <m/>
    <m/>
    <m/>
    <m/>
    <m/>
    <m/>
    <m/>
    <m/>
    <s v="Active"/>
    <s v="BTL/KYL"/>
    <s v="Procurement"/>
    <s v="Executive"/>
    <n v="22000"/>
    <n v="0"/>
    <m/>
    <n v="22000"/>
    <m/>
  </r>
  <r>
    <x v="212"/>
    <x v="211"/>
    <m/>
    <m/>
    <m/>
    <x v="4"/>
    <x v="13"/>
    <m/>
    <x v="2"/>
    <m/>
    <m/>
    <m/>
    <m/>
    <m/>
    <m/>
    <m/>
    <m/>
    <m/>
    <m/>
    <m/>
    <s v="Active"/>
    <s v="BTL/KYL"/>
    <s v="Information Technology"/>
    <s v="Sr. Executive"/>
    <n v="60000"/>
    <n v="0"/>
    <m/>
    <n v="60000"/>
    <m/>
  </r>
  <r>
    <x v="213"/>
    <x v="212"/>
    <m/>
    <m/>
    <m/>
    <x v="4"/>
    <x v="13"/>
    <m/>
    <x v="2"/>
    <m/>
    <m/>
    <m/>
    <m/>
    <m/>
    <m/>
    <m/>
    <m/>
    <m/>
    <m/>
    <m/>
    <s v="Active"/>
    <s v="BTL/KYL"/>
    <s v="Commercial"/>
    <s v="Manager"/>
    <n v="80000"/>
    <n v="0"/>
    <m/>
    <n v="80000"/>
    <m/>
  </r>
  <r>
    <x v="214"/>
    <x v="213"/>
    <m/>
    <m/>
    <m/>
    <x v="4"/>
    <x v="13"/>
    <m/>
    <x v="2"/>
    <m/>
    <m/>
    <m/>
    <m/>
    <m/>
    <m/>
    <m/>
    <m/>
    <m/>
    <m/>
    <m/>
    <s v="Active"/>
    <s v="BTL/KYL"/>
    <s v="Commercial"/>
    <s v="Assistant Manager"/>
    <n v="60000"/>
    <n v="0"/>
    <m/>
    <n v="60000"/>
    <m/>
  </r>
  <r>
    <x v="215"/>
    <x v="214"/>
    <m/>
    <m/>
    <m/>
    <x v="4"/>
    <x v="13"/>
    <m/>
    <x v="2"/>
    <m/>
    <m/>
    <m/>
    <m/>
    <m/>
    <m/>
    <m/>
    <m/>
    <m/>
    <m/>
    <m/>
    <s v="Active"/>
    <s v="BTL/KYL"/>
    <s v="Commercial"/>
    <s v="Trainee Officer"/>
    <n v="15000"/>
    <n v="7000"/>
    <m/>
    <n v="22000"/>
    <m/>
  </r>
  <r>
    <x v="216"/>
    <x v="215"/>
    <m/>
    <m/>
    <m/>
    <x v="4"/>
    <x v="13"/>
    <m/>
    <x v="2"/>
    <m/>
    <m/>
    <m/>
    <m/>
    <m/>
    <m/>
    <m/>
    <m/>
    <m/>
    <m/>
    <m/>
    <s v="Active"/>
    <s v="BTL/KYL"/>
    <s v="Commercial"/>
    <s v="Trainee Officer"/>
    <n v="15000"/>
    <n v="5000"/>
    <m/>
    <n v="20000"/>
    <m/>
  </r>
  <r>
    <x v="217"/>
    <x v="98"/>
    <m/>
    <m/>
    <m/>
    <x v="4"/>
    <x v="13"/>
    <m/>
    <x v="2"/>
    <m/>
    <m/>
    <m/>
    <m/>
    <m/>
    <m/>
    <m/>
    <m/>
    <m/>
    <m/>
    <m/>
    <s v="Active"/>
    <s v="BTL/KYL"/>
    <s v="Commercial"/>
    <s v="Officer"/>
    <n v="12000"/>
    <n v="8000"/>
    <m/>
    <n v="20000"/>
    <m/>
  </r>
  <r>
    <x v="218"/>
    <x v="216"/>
    <m/>
    <m/>
    <m/>
    <x v="4"/>
    <x v="13"/>
    <m/>
    <x v="2"/>
    <m/>
    <m/>
    <m/>
    <m/>
    <m/>
    <m/>
    <m/>
    <m/>
    <m/>
    <m/>
    <m/>
    <s v="Active"/>
    <s v="BTL/KYL"/>
    <s v="Commercial"/>
    <s v="Jr. Officer"/>
    <n v="14000"/>
    <n v="6000"/>
    <m/>
    <n v="20000"/>
    <m/>
  </r>
  <r>
    <x v="219"/>
    <x v="217"/>
    <m/>
    <m/>
    <m/>
    <x v="4"/>
    <x v="13"/>
    <m/>
    <x v="2"/>
    <m/>
    <m/>
    <m/>
    <m/>
    <m/>
    <m/>
    <m/>
    <m/>
    <m/>
    <m/>
    <m/>
    <s v="Active"/>
    <s v="BTL/KYL"/>
    <s v="Finance &amp; Accounts"/>
    <s v="CFO"/>
    <n v="200000"/>
    <n v="25000"/>
    <m/>
    <n v="225000"/>
    <m/>
  </r>
  <r>
    <x v="220"/>
    <x v="218"/>
    <m/>
    <m/>
    <m/>
    <x v="4"/>
    <x v="13"/>
    <m/>
    <x v="2"/>
    <m/>
    <m/>
    <m/>
    <m/>
    <m/>
    <m/>
    <m/>
    <m/>
    <m/>
    <m/>
    <m/>
    <s v="Active"/>
    <s v="BTL/KYL"/>
    <s v="Finance &amp; Accounts"/>
    <s v="Executive"/>
    <n v="28000"/>
    <n v="3000"/>
    <m/>
    <n v="31000"/>
    <m/>
  </r>
  <r>
    <x v="221"/>
    <x v="219"/>
    <m/>
    <m/>
    <m/>
    <x v="4"/>
    <x v="13"/>
    <m/>
    <x v="2"/>
    <m/>
    <m/>
    <m/>
    <m/>
    <m/>
    <m/>
    <m/>
    <m/>
    <m/>
    <m/>
    <m/>
    <s v="Active"/>
    <s v="BTL/KYL"/>
    <s v="Finance &amp; Accounts"/>
    <s v="Executive"/>
    <n v="28000"/>
    <n v="6000"/>
    <m/>
    <n v="34000"/>
    <m/>
  </r>
  <r>
    <x v="222"/>
    <x v="220"/>
    <m/>
    <m/>
    <m/>
    <x v="4"/>
    <x v="13"/>
    <m/>
    <x v="2"/>
    <m/>
    <m/>
    <m/>
    <m/>
    <m/>
    <m/>
    <m/>
    <m/>
    <m/>
    <m/>
    <m/>
    <s v="Active"/>
    <s v="BTL/KYL"/>
    <s v="Finance &amp; Accounts"/>
    <s v="Executive"/>
    <n v="28000"/>
    <n v="5000"/>
    <m/>
    <n v="33000"/>
    <m/>
  </r>
  <r>
    <x v="223"/>
    <x v="221"/>
    <m/>
    <m/>
    <m/>
    <x v="4"/>
    <x v="13"/>
    <m/>
    <x v="2"/>
    <m/>
    <m/>
    <m/>
    <m/>
    <m/>
    <m/>
    <m/>
    <m/>
    <m/>
    <m/>
    <m/>
    <s v="Active"/>
    <s v="BTL/KYL"/>
    <s v="Finance &amp; Accounts"/>
    <s v="Executive"/>
    <n v="22000"/>
    <n v="5000"/>
    <m/>
    <n v="27000"/>
    <m/>
  </r>
  <r>
    <x v="224"/>
    <x v="222"/>
    <m/>
    <m/>
    <m/>
    <x v="4"/>
    <x v="13"/>
    <m/>
    <x v="2"/>
    <m/>
    <m/>
    <m/>
    <m/>
    <m/>
    <m/>
    <m/>
    <m/>
    <m/>
    <m/>
    <m/>
    <s v="Active"/>
    <s v="BTL/KYL"/>
    <s v="Finance &amp; Accounts"/>
    <s v="Messenger"/>
    <n v="11000"/>
    <n v="5000"/>
    <m/>
    <n v="16000"/>
    <m/>
  </r>
  <r>
    <x v="225"/>
    <x v="91"/>
    <m/>
    <m/>
    <m/>
    <x v="4"/>
    <x v="13"/>
    <m/>
    <x v="2"/>
    <m/>
    <m/>
    <m/>
    <m/>
    <m/>
    <m/>
    <m/>
    <m/>
    <m/>
    <m/>
    <m/>
    <s v="Active"/>
    <s v="BTL/KYL"/>
    <s v="Administration"/>
    <s v="Manager"/>
    <n v="50000"/>
    <n v="0"/>
    <m/>
    <n v="50000"/>
    <s v="Sp: 8k"/>
  </r>
  <r>
    <x v="226"/>
    <x v="223"/>
    <m/>
    <m/>
    <m/>
    <x v="4"/>
    <x v="13"/>
    <m/>
    <x v="2"/>
    <m/>
    <m/>
    <m/>
    <m/>
    <m/>
    <m/>
    <m/>
    <m/>
    <m/>
    <m/>
    <m/>
    <s v="Active"/>
    <s v="BTL/KYL"/>
    <s v="Administration"/>
    <s v="Security"/>
    <n v="30000"/>
    <n v="2000"/>
    <m/>
    <n v="32000"/>
    <m/>
  </r>
  <r>
    <x v="227"/>
    <x v="224"/>
    <m/>
    <m/>
    <m/>
    <x v="4"/>
    <x v="13"/>
    <m/>
    <x v="2"/>
    <m/>
    <m/>
    <m/>
    <m/>
    <m/>
    <m/>
    <m/>
    <m/>
    <m/>
    <m/>
    <m/>
    <s v="Active"/>
    <s v="BTL/KYL"/>
    <s v="Administration"/>
    <s v="Head of Administration"/>
    <n v="150000"/>
    <n v="0"/>
    <m/>
    <n v="150000"/>
    <m/>
  </r>
  <r>
    <x v="228"/>
    <x v="225"/>
    <m/>
    <m/>
    <m/>
    <x v="4"/>
    <x v="13"/>
    <m/>
    <x v="2"/>
    <m/>
    <m/>
    <m/>
    <m/>
    <m/>
    <m/>
    <m/>
    <m/>
    <m/>
    <m/>
    <m/>
    <s v="Active"/>
    <s v="BTL/KYL"/>
    <s v="Administration"/>
    <s v="Manager"/>
    <n v="50000"/>
    <n v="0"/>
    <m/>
    <n v="50000"/>
    <m/>
  </r>
  <r>
    <x v="229"/>
    <x v="226"/>
    <m/>
    <m/>
    <m/>
    <x v="4"/>
    <x v="13"/>
    <m/>
    <x v="2"/>
    <m/>
    <m/>
    <m/>
    <m/>
    <m/>
    <m/>
    <m/>
    <m/>
    <m/>
    <m/>
    <m/>
    <s v="Active"/>
    <s v="BTL/KYL"/>
    <s v="Protocol"/>
    <s v="Assistant Manager"/>
    <n v="50000"/>
    <n v="0"/>
    <m/>
    <n v="50000"/>
    <m/>
  </r>
  <r>
    <x v="230"/>
    <x v="227"/>
    <m/>
    <m/>
    <m/>
    <x v="4"/>
    <x v="13"/>
    <m/>
    <x v="2"/>
    <m/>
    <m/>
    <m/>
    <m/>
    <m/>
    <m/>
    <m/>
    <m/>
    <m/>
    <m/>
    <m/>
    <s v="Active"/>
    <s v="BTL/KYL"/>
    <s v="Administration"/>
    <s v="Peon"/>
    <n v="11000"/>
    <n v="2000"/>
    <m/>
    <n v="13000"/>
    <m/>
  </r>
  <r>
    <x v="231"/>
    <x v="228"/>
    <m/>
    <m/>
    <m/>
    <x v="4"/>
    <x v="13"/>
    <m/>
    <x v="2"/>
    <m/>
    <m/>
    <m/>
    <m/>
    <m/>
    <m/>
    <m/>
    <m/>
    <m/>
    <m/>
    <m/>
    <s v="Active"/>
    <s v="BTL/KYL"/>
    <s v="Administration"/>
    <s v="Peon"/>
    <n v="10000"/>
    <n v="2000"/>
    <m/>
    <n v="12000"/>
    <m/>
  </r>
  <r>
    <x v="232"/>
    <x v="229"/>
    <m/>
    <m/>
    <m/>
    <x v="4"/>
    <x v="13"/>
    <m/>
    <x v="2"/>
    <m/>
    <m/>
    <m/>
    <s v="Active"/>
    <s v="PKBDL"/>
    <s v="Utility"/>
    <s v="Electrician"/>
    <n v="2000"/>
    <m/>
    <n v="23000"/>
    <m/>
    <s v="Active"/>
    <s v="BTL/KYL"/>
    <s v="Utility"/>
    <s v="Electrician"/>
    <n v="23000"/>
    <n v="2000"/>
    <m/>
    <n v="25000"/>
    <m/>
  </r>
  <r>
    <x v="233"/>
    <x v="230"/>
    <m/>
    <m/>
    <m/>
    <x v="4"/>
    <x v="13"/>
    <m/>
    <x v="2"/>
    <m/>
    <m/>
    <m/>
    <m/>
    <m/>
    <m/>
    <m/>
    <m/>
    <m/>
    <m/>
    <m/>
    <s v="Active"/>
    <s v="BTL/KYL"/>
    <s v="Administration"/>
    <s v="Asst. Cook"/>
    <n v="10000"/>
    <n v="2000"/>
    <m/>
    <n v="12000"/>
    <m/>
  </r>
  <r>
    <x v="234"/>
    <x v="231"/>
    <m/>
    <m/>
    <m/>
    <x v="4"/>
    <x v="13"/>
    <m/>
    <x v="2"/>
    <m/>
    <m/>
    <m/>
    <m/>
    <m/>
    <m/>
    <m/>
    <m/>
    <m/>
    <m/>
    <m/>
    <s v="Active"/>
    <s v="BTL/KYL"/>
    <s v="Administration"/>
    <s v="Asst. Cook"/>
    <n v="8000"/>
    <n v="3000"/>
    <m/>
    <n v="11000"/>
    <m/>
  </r>
  <r>
    <x v="235"/>
    <x v="232"/>
    <m/>
    <m/>
    <m/>
    <x v="4"/>
    <x v="13"/>
    <m/>
    <x v="2"/>
    <m/>
    <m/>
    <m/>
    <m/>
    <m/>
    <m/>
    <m/>
    <m/>
    <m/>
    <m/>
    <m/>
    <s v="Active"/>
    <s v="BTL/KYL"/>
    <s v="Administration"/>
    <s v="Asst. Cook"/>
    <n v="9000"/>
    <n v="2000"/>
    <m/>
    <n v="11000"/>
    <m/>
  </r>
  <r>
    <x v="236"/>
    <x v="233"/>
    <m/>
    <m/>
    <m/>
    <x v="4"/>
    <x v="13"/>
    <m/>
    <x v="2"/>
    <m/>
    <m/>
    <m/>
    <m/>
    <m/>
    <m/>
    <m/>
    <m/>
    <m/>
    <m/>
    <m/>
    <s v="Active"/>
    <s v="BTL/KYL"/>
    <s v="Administration"/>
    <s v="Asst. Cook"/>
    <n v="9000"/>
    <n v="2000"/>
    <m/>
    <n v="11000"/>
    <m/>
  </r>
  <r>
    <x v="237"/>
    <x v="234"/>
    <m/>
    <m/>
    <m/>
    <x v="4"/>
    <x v="13"/>
    <m/>
    <x v="2"/>
    <m/>
    <m/>
    <m/>
    <s v="Active"/>
    <s v="BTL/KYL"/>
    <s v="Transport"/>
    <s v="Driver"/>
    <n v="1000"/>
    <m/>
    <n v="19000"/>
    <s v="A"/>
    <s v="Active"/>
    <s v="BTL/KYL"/>
    <s v="Transport"/>
    <s v="Driver"/>
    <n v="19000"/>
    <n v="1000"/>
    <m/>
    <n v="20000"/>
    <s v="A"/>
  </r>
  <r>
    <x v="238"/>
    <x v="235"/>
    <m/>
    <m/>
    <m/>
    <x v="4"/>
    <x v="13"/>
    <m/>
    <x v="2"/>
    <m/>
    <m/>
    <m/>
    <s v="Active"/>
    <s v="BTL/KYL"/>
    <s v="Transport"/>
    <s v="Driver"/>
    <n v="1000"/>
    <m/>
    <n v="19000"/>
    <s v="A"/>
    <s v="Active"/>
    <s v="BTL/KYL"/>
    <s v="Transport"/>
    <s v="Driver"/>
    <n v="19000"/>
    <n v="1000"/>
    <m/>
    <n v="20000"/>
    <s v="A"/>
  </r>
  <r>
    <x v="239"/>
    <x v="236"/>
    <m/>
    <m/>
    <m/>
    <x v="4"/>
    <x v="13"/>
    <m/>
    <x v="2"/>
    <m/>
    <m/>
    <m/>
    <s v="Active"/>
    <s v="BTL/KYL"/>
    <s v="Transport"/>
    <s v="Driver"/>
    <n v="1000"/>
    <m/>
    <n v="19000"/>
    <s v="A"/>
    <s v="Active"/>
    <s v="BTL/KYL"/>
    <s v="Transport"/>
    <s v="Driver"/>
    <n v="19000"/>
    <n v="1000"/>
    <m/>
    <n v="20000"/>
    <s v="A"/>
  </r>
  <r>
    <x v="240"/>
    <x v="237"/>
    <m/>
    <m/>
    <m/>
    <x v="4"/>
    <x v="13"/>
    <m/>
    <x v="2"/>
    <m/>
    <m/>
    <m/>
    <s v="Active"/>
    <s v="BTL/KYL"/>
    <s v="Transport"/>
    <s v="Driver"/>
    <n v="1000"/>
    <m/>
    <n v="19000"/>
    <s v="A"/>
    <s v="Active"/>
    <s v="BTL/KYL"/>
    <s v="Transport"/>
    <s v="Driver"/>
    <n v="19000"/>
    <n v="1000"/>
    <m/>
    <n v="20000"/>
    <s v="A"/>
  </r>
  <r>
    <x v="241"/>
    <x v="238"/>
    <m/>
    <m/>
    <m/>
    <x v="4"/>
    <x v="13"/>
    <m/>
    <x v="2"/>
    <m/>
    <m/>
    <m/>
    <s v="Active"/>
    <s v="BTL/KYL"/>
    <s v="Transport"/>
    <s v="Driver"/>
    <n v="1000"/>
    <m/>
    <n v="19000"/>
    <s v="A"/>
    <s v="Active"/>
    <s v="BTL/KYL"/>
    <s v="Transport"/>
    <s v="Driver"/>
    <n v="19000"/>
    <n v="1000"/>
    <m/>
    <n v="20000"/>
    <s v="A"/>
  </r>
  <r>
    <x v="242"/>
    <x v="239"/>
    <m/>
    <m/>
    <m/>
    <x v="4"/>
    <x v="13"/>
    <m/>
    <x v="2"/>
    <m/>
    <m/>
    <m/>
    <m/>
    <m/>
    <m/>
    <m/>
    <m/>
    <m/>
    <m/>
    <m/>
    <s v="Active"/>
    <s v="BTL/KYL"/>
    <s v="Transport"/>
    <s v="Driver"/>
    <n v="19000"/>
    <n v="1000"/>
    <m/>
    <n v="20000"/>
    <s v="A"/>
  </r>
  <r>
    <x v="243"/>
    <x v="240"/>
    <m/>
    <m/>
    <m/>
    <x v="4"/>
    <x v="13"/>
    <m/>
    <x v="2"/>
    <m/>
    <m/>
    <m/>
    <s v="Active"/>
    <s v="BTL/KYL"/>
    <s v="Transport"/>
    <s v="Driver"/>
    <n v="1000"/>
    <m/>
    <n v="18000"/>
    <s v="B"/>
    <s v="Active"/>
    <s v="BTL/KYL"/>
    <s v="Transport"/>
    <s v="Driver"/>
    <n v="18000"/>
    <n v="2000"/>
    <m/>
    <n v="20000"/>
    <s v="A"/>
  </r>
  <r>
    <x v="244"/>
    <x v="241"/>
    <m/>
    <m/>
    <m/>
    <x v="4"/>
    <x v="13"/>
    <m/>
    <x v="2"/>
    <m/>
    <m/>
    <m/>
    <m/>
    <m/>
    <m/>
    <m/>
    <m/>
    <m/>
    <m/>
    <m/>
    <s v="Active"/>
    <s v="BTL/KYL"/>
    <s v="Transport"/>
    <s v="Driver"/>
    <n v="18000"/>
    <n v="2000"/>
    <m/>
    <n v="20000"/>
    <s v="A"/>
  </r>
  <r>
    <x v="245"/>
    <x v="242"/>
    <m/>
    <m/>
    <m/>
    <x v="4"/>
    <x v="13"/>
    <m/>
    <x v="2"/>
    <m/>
    <m/>
    <m/>
    <m/>
    <m/>
    <m/>
    <m/>
    <m/>
    <m/>
    <m/>
    <m/>
    <s v="Active"/>
    <s v="BTL/KYL"/>
    <s v="Transport"/>
    <s v="Driver"/>
    <n v="18000"/>
    <n v="1000"/>
    <m/>
    <n v="19000"/>
    <s v="B"/>
  </r>
  <r>
    <x v="246"/>
    <x v="243"/>
    <m/>
    <m/>
    <m/>
    <x v="4"/>
    <x v="13"/>
    <m/>
    <x v="2"/>
    <m/>
    <m/>
    <m/>
    <s v="Active"/>
    <s v="BTL/KYL"/>
    <s v="Transport"/>
    <s v="Driver"/>
    <n v="0"/>
    <m/>
    <n v="17000"/>
    <s v="C"/>
    <s v="Active"/>
    <s v="BTL/KYL"/>
    <s v="Transport"/>
    <s v="Driver"/>
    <n v="17000"/>
    <n v="2000"/>
    <m/>
    <n v="19000"/>
    <s v="B"/>
  </r>
  <r>
    <x v="247"/>
    <x v="244"/>
    <m/>
    <m/>
    <m/>
    <x v="4"/>
    <x v="13"/>
    <m/>
    <x v="2"/>
    <m/>
    <m/>
    <m/>
    <m/>
    <m/>
    <m/>
    <m/>
    <m/>
    <m/>
    <m/>
    <m/>
    <m/>
    <m/>
    <m/>
    <m/>
    <m/>
    <m/>
    <m/>
    <m/>
    <m/>
  </r>
  <r>
    <x v="247"/>
    <x v="244"/>
    <m/>
    <m/>
    <m/>
    <x v="4"/>
    <x v="13"/>
    <m/>
    <x v="2"/>
    <m/>
    <m/>
    <m/>
    <m/>
    <m/>
    <m/>
    <m/>
    <m/>
    <m/>
    <m/>
    <m/>
    <m/>
    <m/>
    <m/>
    <m/>
    <m/>
    <m/>
    <m/>
    <m/>
    <m/>
  </r>
  <r>
    <x v="247"/>
    <x v="245"/>
    <m/>
    <m/>
    <m/>
    <x v="4"/>
    <x v="13"/>
    <m/>
    <x v="2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m/>
    <s v="Active"/>
    <x v="0"/>
    <x v="0"/>
    <x v="0"/>
    <n v="24000"/>
    <n v="6000"/>
    <m/>
    <n v="0.25"/>
    <n v="30000"/>
    <m/>
  </r>
  <r>
    <x v="1"/>
    <x v="1"/>
    <m/>
    <s v="Active"/>
    <x v="0"/>
    <x v="0"/>
    <x v="1"/>
    <n v="22000"/>
    <n v="7000"/>
    <m/>
    <n v="0.31818181818181818"/>
    <n v="29000"/>
    <m/>
  </r>
  <r>
    <x v="2"/>
    <x v="2"/>
    <m/>
    <s v="Active"/>
    <x v="0"/>
    <x v="0"/>
    <x v="2"/>
    <n v="18000"/>
    <n v="2000"/>
    <m/>
    <n v="0.1111111111111111"/>
    <n v="20000"/>
    <m/>
  </r>
  <r>
    <x v="3"/>
    <x v="3"/>
    <m/>
    <s v="Active"/>
    <x v="0"/>
    <x v="0"/>
    <x v="3"/>
    <n v="15000"/>
    <n v="2000"/>
    <m/>
    <n v="0.13333333333333333"/>
    <n v="17000"/>
    <m/>
  </r>
  <r>
    <x v="4"/>
    <x v="4"/>
    <m/>
    <s v="Active"/>
    <x v="0"/>
    <x v="0"/>
    <x v="2"/>
    <n v="16000"/>
    <n v="2000"/>
    <m/>
    <n v="0.125"/>
    <n v="18000"/>
    <m/>
  </r>
  <r>
    <x v="5"/>
    <x v="5"/>
    <m/>
    <s v="Active"/>
    <x v="0"/>
    <x v="0"/>
    <x v="2"/>
    <n v="13000"/>
    <n v="3000"/>
    <m/>
    <n v="0.23076923076923078"/>
    <n v="16000"/>
    <m/>
  </r>
  <r>
    <x v="6"/>
    <x v="6"/>
    <m/>
    <s v="Active"/>
    <x v="0"/>
    <x v="0"/>
    <x v="2"/>
    <n v="13000"/>
    <n v="3000"/>
    <m/>
    <n v="0.23076923076923078"/>
    <n v="16000"/>
    <m/>
  </r>
  <r>
    <x v="7"/>
    <x v="7"/>
    <m/>
    <s v="Active"/>
    <x v="0"/>
    <x v="0"/>
    <x v="4"/>
    <n v="16000"/>
    <n v="2000"/>
    <m/>
    <n v="0.125"/>
    <n v="18000"/>
    <m/>
  </r>
  <r>
    <x v="8"/>
    <x v="8"/>
    <m/>
    <s v="Active"/>
    <x v="0"/>
    <x v="0"/>
    <x v="4"/>
    <n v="16000"/>
    <n v="2000"/>
    <m/>
    <n v="0.125"/>
    <n v="18000"/>
    <m/>
  </r>
  <r>
    <x v="9"/>
    <x v="9"/>
    <m/>
    <s v="Active"/>
    <x v="0"/>
    <x v="0"/>
    <x v="5"/>
    <n v="12000"/>
    <n v="2000"/>
    <m/>
    <n v="0.16666666666666666"/>
    <n v="14000"/>
    <m/>
  </r>
  <r>
    <x v="10"/>
    <x v="10"/>
    <m/>
    <s v="Active"/>
    <x v="0"/>
    <x v="0"/>
    <x v="2"/>
    <n v="12000"/>
    <n v="2000"/>
    <m/>
    <n v="0.16666666666666666"/>
    <n v="14000"/>
    <m/>
  </r>
  <r>
    <x v="11"/>
    <x v="11"/>
    <m/>
    <s v="Active"/>
    <x v="0"/>
    <x v="0"/>
    <x v="6"/>
    <n v="15000"/>
    <n v="5000"/>
    <m/>
    <n v="0.33333333333333331"/>
    <n v="20000"/>
    <m/>
  </r>
  <r>
    <x v="12"/>
    <x v="12"/>
    <m/>
    <s v="Active"/>
    <x v="0"/>
    <x v="0"/>
    <x v="2"/>
    <n v="12000"/>
    <n v="2000"/>
    <m/>
    <n v="0.16666666666666666"/>
    <n v="14000"/>
    <m/>
  </r>
  <r>
    <x v="13"/>
    <x v="13"/>
    <m/>
    <s v="Active"/>
    <x v="0"/>
    <x v="0"/>
    <x v="5"/>
    <n v="10000"/>
    <n v="2000"/>
    <m/>
    <n v="0.2"/>
    <n v="12000"/>
    <m/>
  </r>
  <r>
    <x v="14"/>
    <x v="14"/>
    <m/>
    <s v="Active"/>
    <x v="0"/>
    <x v="0"/>
    <x v="2"/>
    <n v="10000"/>
    <n v="2000"/>
    <m/>
    <n v="0.2"/>
    <n v="12000"/>
    <m/>
  </r>
  <r>
    <x v="15"/>
    <x v="15"/>
    <m/>
    <s v="Active"/>
    <x v="0"/>
    <x v="0"/>
    <x v="7"/>
    <n v="50000"/>
    <n v="8000"/>
    <m/>
    <n v="0.16"/>
    <n v="50000"/>
    <s v="Sp: 8k"/>
  </r>
  <r>
    <x v="16"/>
    <x v="16"/>
    <m/>
    <s v="Active"/>
    <x v="0"/>
    <x v="0"/>
    <x v="8"/>
    <n v="30000"/>
    <n v="2000"/>
    <m/>
    <n v="6.6666666666666666E-2"/>
    <n v="32000"/>
    <m/>
  </r>
  <r>
    <x v="17"/>
    <x v="17"/>
    <m/>
    <s v="Active"/>
    <x v="0"/>
    <x v="0"/>
    <x v="9"/>
    <n v="150000"/>
    <n v="0"/>
    <m/>
    <n v="0"/>
    <n v="150000"/>
    <m/>
  </r>
  <r>
    <x v="18"/>
    <x v="18"/>
    <m/>
    <s v="Active"/>
    <x v="0"/>
    <x v="0"/>
    <x v="7"/>
    <n v="50000"/>
    <n v="0"/>
    <m/>
    <n v="0"/>
    <n v="50000"/>
    <m/>
  </r>
  <r>
    <x v="19"/>
    <x v="19"/>
    <m/>
    <s v="Active"/>
    <x v="0"/>
    <x v="0"/>
    <x v="2"/>
    <n v="11000"/>
    <n v="2000"/>
    <m/>
    <n v="0.18181818181818182"/>
    <n v="13000"/>
    <m/>
  </r>
  <r>
    <x v="20"/>
    <x v="20"/>
    <m/>
    <s v="Active"/>
    <x v="0"/>
    <x v="0"/>
    <x v="2"/>
    <n v="10000"/>
    <n v="2000"/>
    <m/>
    <n v="0.2"/>
    <n v="12000"/>
    <m/>
  </r>
  <r>
    <x v="21"/>
    <x v="21"/>
    <m/>
    <s v="Active"/>
    <x v="0"/>
    <x v="0"/>
    <x v="5"/>
    <n v="10000"/>
    <n v="2000"/>
    <m/>
    <n v="0.2"/>
    <n v="12000"/>
    <m/>
  </r>
  <r>
    <x v="22"/>
    <x v="22"/>
    <m/>
    <s v="Active"/>
    <x v="0"/>
    <x v="0"/>
    <x v="5"/>
    <n v="8000"/>
    <n v="3000"/>
    <m/>
    <n v="0.375"/>
    <n v="11000"/>
    <m/>
  </r>
  <r>
    <x v="23"/>
    <x v="23"/>
    <m/>
    <s v="Active"/>
    <x v="0"/>
    <x v="0"/>
    <x v="5"/>
    <n v="9000"/>
    <n v="2000"/>
    <m/>
    <n v="0.22222222222222221"/>
    <n v="11000"/>
    <m/>
  </r>
  <r>
    <x v="24"/>
    <x v="24"/>
    <m/>
    <s v="Active"/>
    <x v="0"/>
    <x v="0"/>
    <x v="5"/>
    <n v="9000"/>
    <n v="2000"/>
    <m/>
    <n v="0.22222222222222221"/>
    <n v="11000"/>
    <m/>
  </r>
  <r>
    <x v="25"/>
    <x v="25"/>
    <m/>
    <s v="Active"/>
    <x v="0"/>
    <x v="1"/>
    <x v="10"/>
    <n v="155000"/>
    <n v="15000"/>
    <m/>
    <n v="9.6774193548387094E-2"/>
    <n v="170000"/>
    <m/>
  </r>
  <r>
    <x v="26"/>
    <x v="26"/>
    <m/>
    <s v="Active"/>
    <x v="0"/>
    <x v="1"/>
    <x v="11"/>
    <n v="66000"/>
    <n v="12000"/>
    <m/>
    <n v="0.18181818181818182"/>
    <n v="78000"/>
    <m/>
  </r>
  <r>
    <x v="27"/>
    <x v="27"/>
    <m/>
    <s v="Active"/>
    <x v="0"/>
    <x v="1"/>
    <x v="11"/>
    <n v="50000"/>
    <n v="10000"/>
    <m/>
    <n v="0.2"/>
    <n v="60000"/>
    <m/>
  </r>
  <r>
    <x v="28"/>
    <x v="28"/>
    <m/>
    <s v="Active"/>
    <x v="0"/>
    <x v="1"/>
    <x v="11"/>
    <n v="34000"/>
    <n v="10000"/>
    <m/>
    <n v="0.29411764705882354"/>
    <n v="44000"/>
    <m/>
  </r>
  <r>
    <x v="29"/>
    <x v="29"/>
    <m/>
    <s v="Active"/>
    <x v="0"/>
    <x v="1"/>
    <x v="12"/>
    <n v="16000"/>
    <n v="5000"/>
    <m/>
    <n v="0.3125"/>
    <n v="21000"/>
    <m/>
  </r>
  <r>
    <x v="30"/>
    <x v="30"/>
    <m/>
    <s v="Active"/>
    <x v="0"/>
    <x v="1"/>
    <x v="13"/>
    <n v="35000"/>
    <n v="0"/>
    <m/>
    <m/>
    <n v="35000"/>
    <m/>
  </r>
  <r>
    <x v="31"/>
    <x v="31"/>
    <m/>
    <s v="Active"/>
    <x v="0"/>
    <x v="2"/>
    <x v="14"/>
    <n v="59000"/>
    <n v="8000"/>
    <m/>
    <n v="0.13559322033898305"/>
    <n v="67000"/>
    <m/>
  </r>
  <r>
    <x v="32"/>
    <x v="32"/>
    <m/>
    <s v="Active"/>
    <x v="0"/>
    <x v="2"/>
    <x v="15"/>
    <n v="41000"/>
    <n v="5000"/>
    <m/>
    <n v="0.12195121951219512"/>
    <n v="46000"/>
    <m/>
  </r>
  <r>
    <x v="33"/>
    <x v="33"/>
    <m/>
    <s v="Active"/>
    <x v="0"/>
    <x v="2"/>
    <x v="15"/>
    <n v="27000"/>
    <n v="8000"/>
    <m/>
    <n v="0.29629629629629628"/>
    <n v="35000"/>
    <m/>
  </r>
  <r>
    <x v="34"/>
    <x v="34"/>
    <m/>
    <s v="Active"/>
    <x v="0"/>
    <x v="2"/>
    <x v="13"/>
    <n v="29000"/>
    <n v="6000"/>
    <m/>
    <n v="0.20689655172413793"/>
    <n v="35000"/>
    <m/>
  </r>
  <r>
    <x v="35"/>
    <x v="35"/>
    <m/>
    <s v="Active"/>
    <x v="0"/>
    <x v="2"/>
    <x v="15"/>
    <n v="32000"/>
    <n v="6000"/>
    <m/>
    <n v="0.1875"/>
    <n v="38000"/>
    <m/>
  </r>
  <r>
    <x v="36"/>
    <x v="36"/>
    <m/>
    <s v="Active"/>
    <x v="0"/>
    <x v="2"/>
    <x v="14"/>
    <n v="68000"/>
    <n v="12000"/>
    <m/>
    <n v="0.17647058823529413"/>
    <n v="80000"/>
    <m/>
  </r>
  <r>
    <x v="37"/>
    <x v="37"/>
    <m/>
    <s v="Active"/>
    <x v="0"/>
    <x v="2"/>
    <x v="16"/>
    <n v="20000"/>
    <n v="6000"/>
    <m/>
    <n v="0.3"/>
    <n v="26000"/>
    <m/>
  </r>
  <r>
    <x v="38"/>
    <x v="38"/>
    <m/>
    <s v="Active"/>
    <x v="0"/>
    <x v="2"/>
    <x v="0"/>
    <n v="27000"/>
    <n v="5000"/>
    <m/>
    <n v="0.18518518518518517"/>
    <n v="32000"/>
    <m/>
  </r>
  <r>
    <x v="39"/>
    <x v="39"/>
    <m/>
    <s v="Active"/>
    <x v="0"/>
    <x v="2"/>
    <x v="0"/>
    <n v="30000"/>
    <n v="5000"/>
    <m/>
    <n v="0.16666666666666666"/>
    <n v="35000"/>
    <m/>
  </r>
  <r>
    <x v="40"/>
    <x v="40"/>
    <m/>
    <s v="Active"/>
    <x v="0"/>
    <x v="2"/>
    <x v="0"/>
    <n v="23000"/>
    <n v="5000"/>
    <m/>
    <n v="0.21739130434782608"/>
    <n v="28000"/>
    <m/>
  </r>
  <r>
    <x v="41"/>
    <x v="41"/>
    <m/>
    <s v="Active"/>
    <x v="0"/>
    <x v="2"/>
    <x v="17"/>
    <n v="20000"/>
    <n v="5000"/>
    <m/>
    <n v="0.25"/>
    <n v="25000"/>
    <m/>
  </r>
  <r>
    <x v="42"/>
    <x v="42"/>
    <m/>
    <s v="Active"/>
    <x v="0"/>
    <x v="2"/>
    <x v="0"/>
    <n v="22000"/>
    <n v="3000"/>
    <m/>
    <n v="0.13636363636363635"/>
    <n v="25000"/>
    <m/>
  </r>
  <r>
    <x v="43"/>
    <x v="43"/>
    <m/>
    <s v="Active"/>
    <x v="0"/>
    <x v="2"/>
    <x v="18"/>
    <n v="175000"/>
    <n v="0"/>
    <m/>
    <n v="0"/>
    <n v="175000"/>
    <m/>
  </r>
  <r>
    <x v="44"/>
    <x v="44"/>
    <m/>
    <s v="Active"/>
    <x v="0"/>
    <x v="2"/>
    <x v="13"/>
    <n v="42000"/>
    <n v="10000"/>
    <m/>
    <n v="0.23809523809523808"/>
    <n v="52000"/>
    <m/>
  </r>
  <r>
    <x v="45"/>
    <x v="45"/>
    <m/>
    <s v="Active"/>
    <x v="0"/>
    <x v="2"/>
    <x v="16"/>
    <n v="30000"/>
    <n v="5000"/>
    <m/>
    <n v="0.16666666666666666"/>
    <n v="35000"/>
    <m/>
  </r>
  <r>
    <x v="46"/>
    <x v="46"/>
    <m/>
    <s v="Active"/>
    <x v="0"/>
    <x v="2"/>
    <x v="11"/>
    <n v="39000"/>
    <n v="6000"/>
    <m/>
    <n v="0.15384615384615385"/>
    <n v="45000"/>
    <m/>
  </r>
  <r>
    <x v="47"/>
    <x v="47"/>
    <m/>
    <s v="Active"/>
    <x v="0"/>
    <x v="2"/>
    <x v="0"/>
    <n v="35000"/>
    <n v="5000"/>
    <m/>
    <n v="0.14285714285714285"/>
    <n v="40000"/>
    <m/>
  </r>
  <r>
    <x v="48"/>
    <x v="48"/>
    <m/>
    <s v="Active"/>
    <x v="0"/>
    <x v="2"/>
    <x v="13"/>
    <n v="36000"/>
    <n v="5000"/>
    <m/>
    <n v="0.1388888888888889"/>
    <n v="41000"/>
    <m/>
  </r>
  <r>
    <x v="49"/>
    <x v="49"/>
    <m/>
    <s v="Active"/>
    <x v="0"/>
    <x v="2"/>
    <x v="15"/>
    <n v="22000"/>
    <n v="5000"/>
    <m/>
    <n v="0.22727272727272727"/>
    <n v="27000"/>
    <m/>
  </r>
  <r>
    <x v="50"/>
    <x v="50"/>
    <m/>
    <s v="Active"/>
    <x v="0"/>
    <x v="2"/>
    <x v="16"/>
    <n v="28000"/>
    <n v="5000"/>
    <m/>
    <n v="0.17857142857142858"/>
    <n v="33000"/>
    <m/>
  </r>
  <r>
    <x v="51"/>
    <x v="51"/>
    <m/>
    <s v="Active"/>
    <x v="0"/>
    <x v="2"/>
    <x v="16"/>
    <n v="25000"/>
    <n v="5000"/>
    <m/>
    <n v="0.2"/>
    <n v="30000"/>
    <m/>
  </r>
  <r>
    <x v="52"/>
    <x v="52"/>
    <m/>
    <s v="Active"/>
    <x v="0"/>
    <x v="2"/>
    <x v="0"/>
    <n v="24000"/>
    <n v="6000"/>
    <m/>
    <n v="0.25"/>
    <n v="30000"/>
    <m/>
  </r>
  <r>
    <x v="53"/>
    <x v="53"/>
    <m/>
    <s v="Active"/>
    <x v="0"/>
    <x v="2"/>
    <x v="0"/>
    <n v="25000"/>
    <n v="5000"/>
    <m/>
    <n v="0.2"/>
    <n v="30000"/>
    <m/>
  </r>
  <r>
    <x v="54"/>
    <x v="54"/>
    <m/>
    <s v="Active"/>
    <x v="0"/>
    <x v="2"/>
    <x v="7"/>
    <n v="75000"/>
    <n v="7000"/>
    <m/>
    <n v="9.3333333333333338E-2"/>
    <n v="82000"/>
    <m/>
  </r>
  <r>
    <x v="55"/>
    <x v="55"/>
    <m/>
    <s v="Active"/>
    <x v="0"/>
    <x v="2"/>
    <x v="16"/>
    <n v="22000"/>
    <n v="8000"/>
    <m/>
    <n v="0.36363636363636365"/>
    <n v="30000"/>
    <m/>
  </r>
  <r>
    <x v="56"/>
    <x v="56"/>
    <m/>
    <s v="Active"/>
    <x v="0"/>
    <x v="2"/>
    <x v="16"/>
    <n v="20000"/>
    <n v="5000"/>
    <m/>
    <n v="0.25"/>
    <n v="25000"/>
    <m/>
  </r>
  <r>
    <x v="57"/>
    <x v="57"/>
    <m/>
    <s v="Active"/>
    <x v="0"/>
    <x v="2"/>
    <x v="0"/>
    <n v="55000"/>
    <n v="7000"/>
    <m/>
    <n v="0.12727272727272726"/>
    <n v="62000"/>
    <m/>
  </r>
  <r>
    <x v="58"/>
    <x v="58"/>
    <m/>
    <s v="Active"/>
    <x v="0"/>
    <x v="2"/>
    <x v="0"/>
    <n v="17000"/>
    <n v="7000"/>
    <m/>
    <n v="0.41176470588235292"/>
    <n v="24000"/>
    <m/>
  </r>
  <r>
    <x v="59"/>
    <x v="59"/>
    <m/>
    <s v="Active"/>
    <x v="0"/>
    <x v="2"/>
    <x v="16"/>
    <n v="15000"/>
    <n v="7000"/>
    <m/>
    <n v="0.46666666666666667"/>
    <n v="22000"/>
    <m/>
  </r>
  <r>
    <x v="60"/>
    <x v="60"/>
    <m/>
    <s v="Active"/>
    <x v="0"/>
    <x v="2"/>
    <x v="16"/>
    <n v="15000"/>
    <n v="5000"/>
    <m/>
    <n v="0.33333333333333331"/>
    <n v="20000"/>
    <m/>
  </r>
  <r>
    <x v="61"/>
    <x v="0"/>
    <m/>
    <s v="Active"/>
    <x v="0"/>
    <x v="2"/>
    <x v="19"/>
    <n v="12000"/>
    <n v="8000"/>
    <m/>
    <n v="0.66666666666666663"/>
    <n v="20000"/>
    <m/>
  </r>
  <r>
    <x v="62"/>
    <x v="61"/>
    <m/>
    <s v="Active"/>
    <x v="0"/>
    <x v="2"/>
    <x v="15"/>
    <n v="14000"/>
    <n v="6000"/>
    <m/>
    <n v="0.42857142857142855"/>
    <n v="20000"/>
    <m/>
  </r>
  <r>
    <x v="63"/>
    <x v="62"/>
    <m/>
    <s v="Active"/>
    <x v="0"/>
    <x v="3"/>
    <x v="13"/>
    <n v="30000"/>
    <n v="7000"/>
    <m/>
    <n v="0.23333333333333334"/>
    <n v="37000"/>
    <m/>
  </r>
  <r>
    <x v="64"/>
    <x v="63"/>
    <m/>
    <s v="Active"/>
    <x v="0"/>
    <x v="3"/>
    <x v="7"/>
    <n v="42000"/>
    <n v="15000"/>
    <m/>
    <n v="0.35714285714285715"/>
    <n v="57000"/>
    <m/>
  </r>
  <r>
    <x v="65"/>
    <x v="64"/>
    <m/>
    <s v="Active"/>
    <x v="0"/>
    <x v="3"/>
    <x v="20"/>
    <n v="40000"/>
    <n v="5000"/>
    <m/>
    <n v="0.125"/>
    <n v="45000"/>
    <m/>
  </r>
  <r>
    <x v="66"/>
    <x v="65"/>
    <m/>
    <s v="Active"/>
    <x v="0"/>
    <x v="4"/>
    <x v="20"/>
    <n v="47000"/>
    <n v="23000"/>
    <m/>
    <n v="0.48936170212765956"/>
    <n v="70000"/>
    <m/>
  </r>
  <r>
    <x v="67"/>
    <x v="66"/>
    <m/>
    <s v="Active"/>
    <x v="0"/>
    <x v="4"/>
    <x v="11"/>
    <n v="36000"/>
    <n v="4000"/>
    <m/>
    <n v="0.1111111111111111"/>
    <n v="40000"/>
    <m/>
  </r>
  <r>
    <x v="68"/>
    <x v="67"/>
    <m/>
    <s v="Active"/>
    <x v="0"/>
    <x v="4"/>
    <x v="13"/>
    <n v="25000"/>
    <n v="5000"/>
    <m/>
    <n v="0.2"/>
    <n v="30000"/>
    <m/>
  </r>
  <r>
    <x v="69"/>
    <x v="68"/>
    <m/>
    <s v="Active"/>
    <x v="0"/>
    <x v="4"/>
    <x v="11"/>
    <n v="30000"/>
    <n v="7000"/>
    <m/>
    <n v="0.23333333333333334"/>
    <n v="37000"/>
    <m/>
  </r>
  <r>
    <x v="70"/>
    <x v="69"/>
    <m/>
    <s v="Active"/>
    <x v="0"/>
    <x v="4"/>
    <x v="13"/>
    <n v="30000"/>
    <n v="5000"/>
    <m/>
    <n v="0.16666666666666666"/>
    <n v="35000"/>
    <m/>
  </r>
  <r>
    <x v="71"/>
    <x v="70"/>
    <m/>
    <s v="Active"/>
    <x v="0"/>
    <x v="4"/>
    <x v="13"/>
    <n v="28000"/>
    <n v="15000"/>
    <m/>
    <n v="0.5357142857142857"/>
    <n v="43000"/>
    <m/>
  </r>
  <r>
    <x v="72"/>
    <x v="71"/>
    <m/>
    <s v="Active"/>
    <x v="0"/>
    <x v="5"/>
    <x v="21"/>
    <n v="185000"/>
    <n v="15000"/>
    <m/>
    <n v="8.1081081081081086E-2"/>
    <n v="200000"/>
    <m/>
  </r>
  <r>
    <x v="73"/>
    <x v="72"/>
    <m/>
    <s v="Active"/>
    <x v="0"/>
    <x v="5"/>
    <x v="7"/>
    <n v="110000"/>
    <n v="15000"/>
    <m/>
    <n v="0.13636363636363635"/>
    <n v="125000"/>
    <m/>
  </r>
  <r>
    <x v="74"/>
    <x v="73"/>
    <m/>
    <s v="Active"/>
    <x v="0"/>
    <x v="5"/>
    <x v="11"/>
    <n v="50000"/>
    <n v="5000"/>
    <m/>
    <n v="0.1"/>
    <n v="55000"/>
    <m/>
  </r>
  <r>
    <x v="75"/>
    <x v="74"/>
    <m/>
    <s v="Active"/>
    <x v="0"/>
    <x v="5"/>
    <x v="11"/>
    <n v="40000"/>
    <n v="12000"/>
    <m/>
    <n v="0.3"/>
    <n v="52000"/>
    <m/>
  </r>
  <r>
    <x v="76"/>
    <x v="75"/>
    <m/>
    <s v="Active"/>
    <x v="0"/>
    <x v="5"/>
    <x v="11"/>
    <n v="38000"/>
    <n v="12000"/>
    <m/>
    <n v="0.31578947368421051"/>
    <n v="50000"/>
    <m/>
  </r>
  <r>
    <x v="77"/>
    <x v="76"/>
    <m/>
    <s v="Active"/>
    <x v="0"/>
    <x v="5"/>
    <x v="13"/>
    <n v="50000"/>
    <n v="5000"/>
    <m/>
    <n v="0.1"/>
    <n v="55000"/>
    <m/>
  </r>
  <r>
    <x v="78"/>
    <x v="77"/>
    <m/>
    <s v="Active"/>
    <x v="0"/>
    <x v="5"/>
    <x v="19"/>
    <n v="38000"/>
    <n v="4000"/>
    <m/>
    <n v="0.10526315789473684"/>
    <n v="42000"/>
    <m/>
  </r>
  <r>
    <x v="79"/>
    <x v="78"/>
    <m/>
    <s v="Active"/>
    <x v="0"/>
    <x v="5"/>
    <x v="19"/>
    <n v="41000"/>
    <n v="9000"/>
    <m/>
    <n v="0.21951219512195122"/>
    <n v="50000"/>
    <m/>
  </r>
  <r>
    <x v="80"/>
    <x v="79"/>
    <m/>
    <s v="Active"/>
    <x v="0"/>
    <x v="5"/>
    <x v="15"/>
    <n v="33000"/>
    <n v="7000"/>
    <m/>
    <n v="0.21212121212121213"/>
    <n v="40000"/>
    <m/>
  </r>
  <r>
    <x v="81"/>
    <x v="80"/>
    <m/>
    <s v="Active"/>
    <x v="0"/>
    <x v="5"/>
    <x v="13"/>
    <n v="32000"/>
    <n v="8000"/>
    <m/>
    <n v="0.25"/>
    <n v="40000"/>
    <m/>
  </r>
  <r>
    <x v="82"/>
    <x v="81"/>
    <m/>
    <s v="Active"/>
    <x v="0"/>
    <x v="5"/>
    <x v="13"/>
    <n v="30000"/>
    <n v="7000"/>
    <m/>
    <n v="0.23333333333333334"/>
    <n v="37000"/>
    <m/>
  </r>
  <r>
    <x v="83"/>
    <x v="82"/>
    <m/>
    <s v="Active"/>
    <x v="0"/>
    <x v="5"/>
    <x v="19"/>
    <n v="23000"/>
    <n v="7000"/>
    <m/>
    <n v="0.30434782608695654"/>
    <n v="30000"/>
    <m/>
  </r>
  <r>
    <x v="84"/>
    <x v="83"/>
    <m/>
    <s v="Active"/>
    <x v="0"/>
    <x v="5"/>
    <x v="19"/>
    <n v="23000"/>
    <n v="7000"/>
    <m/>
    <n v="0.30434782608695654"/>
    <n v="30000"/>
    <m/>
  </r>
  <r>
    <x v="85"/>
    <x v="84"/>
    <m/>
    <s v="Active"/>
    <x v="0"/>
    <x v="5"/>
    <x v="13"/>
    <n v="13000"/>
    <n v="5000"/>
    <m/>
    <n v="0.38461538461538464"/>
    <n v="18000"/>
    <m/>
  </r>
  <r>
    <x v="86"/>
    <x v="85"/>
    <m/>
    <s v="Active"/>
    <x v="0"/>
    <x v="5"/>
    <x v="22"/>
    <n v="200000"/>
    <n v="25000"/>
    <m/>
    <n v="0.125"/>
    <n v="225000"/>
    <m/>
  </r>
  <r>
    <x v="87"/>
    <x v="86"/>
    <m/>
    <s v="Active"/>
    <x v="0"/>
    <x v="5"/>
    <x v="13"/>
    <n v="28000"/>
    <n v="3000"/>
    <m/>
    <n v="0.10714285714285714"/>
    <n v="31000"/>
    <m/>
  </r>
  <r>
    <x v="88"/>
    <x v="87"/>
    <m/>
    <s v="Active"/>
    <x v="0"/>
    <x v="5"/>
    <x v="13"/>
    <n v="28000"/>
    <n v="6000"/>
    <m/>
    <n v="0.21428571428571427"/>
    <n v="34000"/>
    <m/>
  </r>
  <r>
    <x v="89"/>
    <x v="88"/>
    <m/>
    <s v="Active"/>
    <x v="0"/>
    <x v="5"/>
    <x v="13"/>
    <n v="28000"/>
    <n v="5000"/>
    <m/>
    <n v="0.17857142857142858"/>
    <n v="33000"/>
    <m/>
  </r>
  <r>
    <x v="90"/>
    <x v="89"/>
    <m/>
    <s v="Active"/>
    <x v="0"/>
    <x v="5"/>
    <x v="13"/>
    <n v="22000"/>
    <n v="5000"/>
    <m/>
    <n v="0.22727272727272727"/>
    <n v="27000"/>
    <m/>
  </r>
  <r>
    <x v="91"/>
    <x v="90"/>
    <m/>
    <s v="Active"/>
    <x v="0"/>
    <x v="5"/>
    <x v="23"/>
    <n v="11000"/>
    <n v="5000"/>
    <m/>
    <n v="0.45454545454545453"/>
    <n v="16000"/>
    <m/>
  </r>
  <r>
    <x v="92"/>
    <x v="91"/>
    <m/>
    <s v="Active"/>
    <x v="0"/>
    <x v="6"/>
    <x v="24"/>
    <n v="110000"/>
    <n v="30000"/>
    <m/>
    <n v="0.27272727272727271"/>
    <n v="140000"/>
    <m/>
  </r>
  <r>
    <x v="93"/>
    <x v="92"/>
    <m/>
    <s v="Active"/>
    <x v="0"/>
    <x v="6"/>
    <x v="14"/>
    <n v="70000"/>
    <n v="20000"/>
    <m/>
    <n v="0.2857142857142857"/>
    <n v="90000"/>
    <m/>
  </r>
  <r>
    <x v="94"/>
    <x v="93"/>
    <m/>
    <s v="Active"/>
    <x v="0"/>
    <x v="6"/>
    <x v="16"/>
    <n v="26000"/>
    <n v="9000"/>
    <m/>
    <n v="0.34615384615384615"/>
    <n v="35000"/>
    <m/>
  </r>
  <r>
    <x v="95"/>
    <x v="94"/>
    <m/>
    <s v="Active"/>
    <x v="0"/>
    <x v="6"/>
    <x v="23"/>
    <n v="18000"/>
    <n v="3000"/>
    <m/>
    <n v="0.16666666666666666"/>
    <n v="21000"/>
    <m/>
  </r>
  <r>
    <x v="96"/>
    <x v="95"/>
    <m/>
    <s v="Active"/>
    <x v="0"/>
    <x v="7"/>
    <x v="19"/>
    <n v="30000"/>
    <n v="5000"/>
    <m/>
    <n v="0.16666666666666666"/>
    <n v="35000"/>
    <m/>
  </r>
  <r>
    <x v="97"/>
    <x v="96"/>
    <m/>
    <s v="Active"/>
    <x v="0"/>
    <x v="7"/>
    <x v="11"/>
    <n v="60000"/>
    <n v="0"/>
    <m/>
    <n v="0"/>
    <n v="60000"/>
    <m/>
  </r>
  <r>
    <x v="98"/>
    <x v="97"/>
    <m/>
    <s v="Active"/>
    <x v="0"/>
    <x v="8"/>
    <x v="25"/>
    <n v="150000"/>
    <n v="25000"/>
    <m/>
    <n v="0.16666666666666666"/>
    <n v="175000"/>
    <m/>
  </r>
  <r>
    <x v="99"/>
    <x v="98"/>
    <m/>
    <s v="Active"/>
    <x v="0"/>
    <x v="8"/>
    <x v="26"/>
    <n v="120000"/>
    <n v="25000"/>
    <m/>
    <n v="0.20833333333333334"/>
    <n v="145000"/>
    <m/>
  </r>
  <r>
    <x v="100"/>
    <x v="99"/>
    <m/>
    <s v="Active"/>
    <x v="0"/>
    <x v="8"/>
    <x v="27"/>
    <n v="120000"/>
    <n v="25000"/>
    <m/>
    <n v="0.20833333333333334"/>
    <n v="145000"/>
    <m/>
  </r>
  <r>
    <x v="101"/>
    <x v="100"/>
    <m/>
    <s v="Active"/>
    <x v="0"/>
    <x v="8"/>
    <x v="28"/>
    <n v="110000"/>
    <n v="40000"/>
    <m/>
    <n v="0.36363636363636365"/>
    <n v="150000"/>
    <m/>
  </r>
  <r>
    <x v="102"/>
    <x v="101"/>
    <m/>
    <s v="Active"/>
    <x v="0"/>
    <x v="8"/>
    <x v="20"/>
    <n v="58000"/>
    <n v="10000"/>
    <m/>
    <n v="0.17241379310344829"/>
    <n v="68000"/>
    <m/>
  </r>
  <r>
    <x v="103"/>
    <x v="102"/>
    <m/>
    <s v="Active"/>
    <x v="0"/>
    <x v="8"/>
    <x v="20"/>
    <n v="50000"/>
    <n v="10000"/>
    <m/>
    <n v="0.2"/>
    <n v="60000"/>
    <m/>
  </r>
  <r>
    <x v="104"/>
    <x v="103"/>
    <m/>
    <s v="Active"/>
    <x v="0"/>
    <x v="8"/>
    <x v="0"/>
    <n v="40000"/>
    <n v="10000"/>
    <m/>
    <n v="0.25"/>
    <n v="50000"/>
    <m/>
  </r>
  <r>
    <x v="105"/>
    <x v="104"/>
    <m/>
    <s v="Active"/>
    <x v="0"/>
    <x v="8"/>
    <x v="20"/>
    <n v="42000"/>
    <n v="8000"/>
    <m/>
    <n v="0.19047619047619047"/>
    <n v="50000"/>
    <m/>
  </r>
  <r>
    <x v="106"/>
    <x v="105"/>
    <m/>
    <s v="Active"/>
    <x v="0"/>
    <x v="8"/>
    <x v="29"/>
    <n v="90000"/>
    <n v="10000"/>
    <m/>
    <n v="0.1111111111111111"/>
    <n v="100000"/>
    <m/>
  </r>
  <r>
    <x v="107"/>
    <x v="106"/>
    <m/>
    <s v="Active"/>
    <x v="0"/>
    <x v="8"/>
    <x v="20"/>
    <n v="39000"/>
    <n v="10000"/>
    <m/>
    <n v="0.25641025641025639"/>
    <n v="49000"/>
    <m/>
  </r>
  <r>
    <x v="108"/>
    <x v="107"/>
    <m/>
    <s v="Active"/>
    <x v="0"/>
    <x v="9"/>
    <x v="30"/>
    <n v="90000"/>
    <n v="10000"/>
    <m/>
    <n v="0.1111111111111111"/>
    <n v="100000"/>
    <m/>
  </r>
  <r>
    <x v="109"/>
    <x v="108"/>
    <m/>
    <s v="Active"/>
    <x v="0"/>
    <x v="9"/>
    <x v="13"/>
    <n v="37000"/>
    <n v="5000"/>
    <m/>
    <n v="0.13513513513513514"/>
    <n v="42000"/>
    <m/>
  </r>
  <r>
    <x v="110"/>
    <x v="109"/>
    <m/>
    <s v="Active"/>
    <x v="0"/>
    <x v="9"/>
    <x v="15"/>
    <n v="28000"/>
    <n v="6000"/>
    <m/>
    <n v="0.21428571428571427"/>
    <n v="34000"/>
    <m/>
  </r>
  <r>
    <x v="111"/>
    <x v="110"/>
    <m/>
    <s v="Active"/>
    <x v="0"/>
    <x v="9"/>
    <x v="13"/>
    <n v="31000"/>
    <n v="5000"/>
    <m/>
    <n v="0.16129032258064516"/>
    <n v="36000"/>
    <m/>
  </r>
  <r>
    <x v="112"/>
    <x v="111"/>
    <m/>
    <s v="Active"/>
    <x v="0"/>
    <x v="9"/>
    <x v="19"/>
    <n v="36000"/>
    <n v="5000"/>
    <m/>
    <n v="0.1388888888888889"/>
    <n v="41000"/>
    <m/>
  </r>
  <r>
    <x v="113"/>
    <x v="112"/>
    <m/>
    <s v="Active"/>
    <x v="0"/>
    <x v="9"/>
    <x v="11"/>
    <n v="26000"/>
    <n v="5000"/>
    <m/>
    <n v="0.19230769230769232"/>
    <n v="31000"/>
    <m/>
  </r>
  <r>
    <x v="114"/>
    <x v="113"/>
    <m/>
    <s v="Active"/>
    <x v="0"/>
    <x v="9"/>
    <x v="19"/>
    <n v="35000"/>
    <n v="6000"/>
    <m/>
    <n v="0.17142857142857143"/>
    <n v="41000"/>
    <m/>
  </r>
  <r>
    <x v="115"/>
    <x v="114"/>
    <m/>
    <s v="Active"/>
    <x v="0"/>
    <x v="9"/>
    <x v="13"/>
    <n v="22000"/>
    <n v="0"/>
    <m/>
    <n v="0"/>
    <n v="22000"/>
    <m/>
  </r>
  <r>
    <x v="116"/>
    <x v="115"/>
    <m/>
    <s v="Active"/>
    <x v="0"/>
    <x v="10"/>
    <x v="20"/>
    <n v="50000"/>
    <n v="0"/>
    <m/>
    <n v="0"/>
    <n v="50000"/>
    <m/>
  </r>
  <r>
    <x v="117"/>
    <x v="116"/>
    <m/>
    <s v="Active"/>
    <x v="0"/>
    <x v="11"/>
    <x v="31"/>
    <n v="19000"/>
    <n v="1000"/>
    <m/>
    <n v="5.2631578947368418E-2"/>
    <n v="20000"/>
    <s v="A"/>
  </r>
  <r>
    <x v="118"/>
    <x v="117"/>
    <m/>
    <s v="Active"/>
    <x v="0"/>
    <x v="11"/>
    <x v="31"/>
    <n v="19000"/>
    <n v="1000"/>
    <m/>
    <n v="5.2631578947368418E-2"/>
    <n v="20000"/>
    <s v="A"/>
  </r>
  <r>
    <x v="119"/>
    <x v="118"/>
    <m/>
    <s v="Active"/>
    <x v="0"/>
    <x v="11"/>
    <x v="31"/>
    <n v="19000"/>
    <n v="1000"/>
    <m/>
    <n v="5.2631578947368418E-2"/>
    <n v="20000"/>
    <s v="A"/>
  </r>
  <r>
    <x v="120"/>
    <x v="119"/>
    <m/>
    <s v="Active"/>
    <x v="0"/>
    <x v="11"/>
    <x v="31"/>
    <n v="19000"/>
    <n v="1000"/>
    <m/>
    <n v="5.2631578947368418E-2"/>
    <n v="20000"/>
    <s v="A"/>
  </r>
  <r>
    <x v="121"/>
    <x v="120"/>
    <m/>
    <s v="Active"/>
    <x v="0"/>
    <x v="11"/>
    <x v="31"/>
    <n v="19000"/>
    <n v="1000"/>
    <m/>
    <n v="5.2631578947368418E-2"/>
    <n v="20000"/>
    <s v="A"/>
  </r>
  <r>
    <x v="122"/>
    <x v="121"/>
    <m/>
    <s v="Active"/>
    <x v="0"/>
    <x v="11"/>
    <x v="31"/>
    <n v="19000"/>
    <n v="1000"/>
    <m/>
    <n v="5.2631578947368418E-2"/>
    <n v="20000"/>
    <s v="A"/>
  </r>
  <r>
    <x v="123"/>
    <x v="122"/>
    <m/>
    <s v="Active"/>
    <x v="0"/>
    <x v="11"/>
    <x v="31"/>
    <n v="19000"/>
    <n v="1000"/>
    <m/>
    <n v="5.2631578947368418E-2"/>
    <n v="20000"/>
    <s v="A"/>
  </r>
  <r>
    <x v="124"/>
    <x v="123"/>
    <m/>
    <s v="Active"/>
    <x v="0"/>
    <x v="11"/>
    <x v="31"/>
    <n v="19000"/>
    <n v="1000"/>
    <m/>
    <n v="5.2631578947368418E-2"/>
    <n v="20000"/>
    <s v="A"/>
  </r>
  <r>
    <x v="125"/>
    <x v="124"/>
    <m/>
    <s v="Active"/>
    <x v="0"/>
    <x v="11"/>
    <x v="31"/>
    <n v="19000"/>
    <n v="1000"/>
    <m/>
    <n v="5.2631578947368418E-2"/>
    <n v="20000"/>
    <s v="A"/>
  </r>
  <r>
    <x v="126"/>
    <x v="125"/>
    <m/>
    <s v="Active"/>
    <x v="0"/>
    <x v="11"/>
    <x v="31"/>
    <n v="19000"/>
    <n v="1000"/>
    <m/>
    <n v="5.2631578947368418E-2"/>
    <n v="20000"/>
    <s v="A"/>
  </r>
  <r>
    <x v="127"/>
    <x v="126"/>
    <m/>
    <s v="Active"/>
    <x v="0"/>
    <x v="11"/>
    <x v="31"/>
    <n v="18000"/>
    <n v="2000"/>
    <m/>
    <n v="0.1111111111111111"/>
    <n v="20000"/>
    <s v="A"/>
  </r>
  <r>
    <x v="128"/>
    <x v="127"/>
    <m/>
    <s v="Active"/>
    <x v="0"/>
    <x v="11"/>
    <x v="31"/>
    <n v="18000"/>
    <n v="2000"/>
    <m/>
    <n v="0.1111111111111111"/>
    <n v="20000"/>
    <s v="A"/>
  </r>
  <r>
    <x v="129"/>
    <x v="128"/>
    <m/>
    <s v="Active"/>
    <x v="0"/>
    <x v="11"/>
    <x v="31"/>
    <n v="18000"/>
    <n v="1000"/>
    <m/>
    <n v="5.5555555555555552E-2"/>
    <n v="19000"/>
    <s v="B"/>
  </r>
  <r>
    <x v="130"/>
    <x v="129"/>
    <m/>
    <s v="Active"/>
    <x v="0"/>
    <x v="11"/>
    <x v="31"/>
    <n v="17000"/>
    <n v="2000"/>
    <m/>
    <n v="0.11764705882352941"/>
    <n v="19000"/>
    <s v="B"/>
  </r>
  <r>
    <x v="131"/>
    <x v="130"/>
    <m/>
    <s v="Active"/>
    <x v="0"/>
    <x v="12"/>
    <x v="32"/>
    <n v="16000"/>
    <n v="2000"/>
    <m/>
    <n v="0.125"/>
    <n v="18000"/>
    <m/>
  </r>
  <r>
    <x v="132"/>
    <x v="131"/>
    <m/>
    <s v="Active"/>
    <x v="0"/>
    <x v="12"/>
    <x v="33"/>
    <n v="23000"/>
    <n v="2000"/>
    <m/>
    <n v="8.6956521739130432E-2"/>
    <n v="25000"/>
    <m/>
  </r>
  <r>
    <x v="133"/>
    <x v="132"/>
    <m/>
    <m/>
    <x v="1"/>
    <x v="13"/>
    <x v="34"/>
    <m/>
    <m/>
    <m/>
    <m/>
    <m/>
    <m/>
  </r>
  <r>
    <x v="134"/>
    <x v="133"/>
    <m/>
    <s v="Active"/>
    <x v="2"/>
    <x v="0"/>
    <x v="23"/>
    <n v="14000"/>
    <n v="2000"/>
    <m/>
    <n v="0.14285714285714285"/>
    <n v="16000"/>
    <m/>
  </r>
  <r>
    <x v="135"/>
    <x v="134"/>
    <m/>
    <s v="Active"/>
    <x v="2"/>
    <x v="0"/>
    <x v="23"/>
    <n v="14000"/>
    <n v="2000"/>
    <m/>
    <n v="0.14285714285714285"/>
    <n v="16000"/>
    <m/>
  </r>
  <r>
    <x v="136"/>
    <x v="135"/>
    <m/>
    <s v="Active"/>
    <x v="2"/>
    <x v="0"/>
    <x v="23"/>
    <n v="14000"/>
    <n v="2000"/>
    <m/>
    <n v="0.14285714285714285"/>
    <n v="16000"/>
    <m/>
  </r>
  <r>
    <x v="137"/>
    <x v="26"/>
    <m/>
    <s v="Active"/>
    <x v="2"/>
    <x v="0"/>
    <x v="23"/>
    <n v="14000"/>
    <n v="2000"/>
    <m/>
    <n v="0.14285714285714285"/>
    <n v="16000"/>
    <m/>
  </r>
  <r>
    <x v="138"/>
    <x v="136"/>
    <m/>
    <s v="Active"/>
    <x v="2"/>
    <x v="0"/>
    <x v="3"/>
    <n v="15000"/>
    <n v="2000"/>
    <m/>
    <n v="0.13333333333333333"/>
    <n v="17000"/>
    <m/>
  </r>
  <r>
    <x v="139"/>
    <x v="137"/>
    <m/>
    <s v="Active"/>
    <x v="2"/>
    <x v="0"/>
    <x v="23"/>
    <n v="12000"/>
    <n v="0"/>
    <m/>
    <n v="0"/>
    <n v="12000"/>
    <m/>
  </r>
  <r>
    <x v="140"/>
    <x v="138"/>
    <m/>
    <s v="Active"/>
    <x v="2"/>
    <x v="0"/>
    <x v="23"/>
    <n v="12000"/>
    <n v="5000"/>
    <m/>
    <n v="0.41666666666666669"/>
    <n v="17000"/>
    <m/>
  </r>
  <r>
    <x v="141"/>
    <x v="139"/>
    <m/>
    <s v="Active"/>
    <x v="2"/>
    <x v="1"/>
    <x v="19"/>
    <n v="45000"/>
    <n v="8000"/>
    <m/>
    <n v="0.17777777777777778"/>
    <n v="53000"/>
    <m/>
  </r>
  <r>
    <x v="142"/>
    <x v="140"/>
    <m/>
    <s v="Active"/>
    <x v="2"/>
    <x v="1"/>
    <x v="13"/>
    <n v="28000"/>
    <n v="0"/>
    <m/>
    <n v="0"/>
    <n v="28000"/>
    <m/>
  </r>
  <r>
    <x v="143"/>
    <x v="141"/>
    <m/>
    <s v="Active"/>
    <x v="2"/>
    <x v="1"/>
    <x v="13"/>
    <n v="28000"/>
    <n v="0"/>
    <m/>
    <n v="0"/>
    <n v="28000"/>
    <m/>
  </r>
  <r>
    <x v="144"/>
    <x v="142"/>
    <m/>
    <s v="Active"/>
    <x v="2"/>
    <x v="1"/>
    <x v="7"/>
    <n v="63000"/>
    <n v="0"/>
    <m/>
    <n v="0"/>
    <n v="63000"/>
    <m/>
  </r>
  <r>
    <x v="145"/>
    <x v="143"/>
    <m/>
    <s v="Active"/>
    <x v="2"/>
    <x v="2"/>
    <x v="11"/>
    <n v="52000"/>
    <n v="8000"/>
    <m/>
    <n v="0.15384615384615385"/>
    <n v="60000"/>
    <m/>
  </r>
  <r>
    <x v="146"/>
    <x v="144"/>
    <m/>
    <s v="Active"/>
    <x v="2"/>
    <x v="2"/>
    <x v="13"/>
    <n v="29000"/>
    <n v="8000"/>
    <m/>
    <n v="0.27586206896551724"/>
    <n v="37000"/>
    <m/>
  </r>
  <r>
    <x v="147"/>
    <x v="145"/>
    <m/>
    <s v="Active"/>
    <x v="2"/>
    <x v="2"/>
    <x v="13"/>
    <n v="21000"/>
    <n v="5000"/>
    <m/>
    <n v="0.23809523809523808"/>
    <n v="26000"/>
    <m/>
  </r>
  <r>
    <x v="148"/>
    <x v="146"/>
    <m/>
    <s v="Active"/>
    <x v="2"/>
    <x v="2"/>
    <x v="7"/>
    <n v="65000"/>
    <n v="12000"/>
    <m/>
    <n v="0.18461538461538463"/>
    <n v="77000"/>
    <m/>
  </r>
  <r>
    <x v="149"/>
    <x v="147"/>
    <m/>
    <s v="Active"/>
    <x v="2"/>
    <x v="2"/>
    <x v="16"/>
    <n v="20000"/>
    <n v="6000"/>
    <m/>
    <n v="0.3"/>
    <n v="26000"/>
    <m/>
  </r>
  <r>
    <x v="150"/>
    <x v="148"/>
    <m/>
    <s v="Active"/>
    <x v="2"/>
    <x v="2"/>
    <x v="23"/>
    <n v="15000"/>
    <n v="5000"/>
    <m/>
    <n v="0.33333333333333331"/>
    <n v="20000"/>
    <m/>
  </r>
  <r>
    <x v="151"/>
    <x v="149"/>
    <m/>
    <s v="Active"/>
    <x v="2"/>
    <x v="2"/>
    <x v="16"/>
    <n v="20000"/>
    <n v="5000"/>
    <m/>
    <n v="0.25"/>
    <n v="25000"/>
    <m/>
  </r>
  <r>
    <x v="152"/>
    <x v="150"/>
    <m/>
    <s v="Active"/>
    <x v="2"/>
    <x v="2"/>
    <x v="16"/>
    <n v="20000"/>
    <n v="5000"/>
    <m/>
    <n v="0.25"/>
    <n v="25000"/>
    <m/>
  </r>
  <r>
    <x v="153"/>
    <x v="151"/>
    <m/>
    <s v="Active"/>
    <x v="2"/>
    <x v="2"/>
    <x v="16"/>
    <n v="17000"/>
    <n v="5000"/>
    <m/>
    <n v="0.29411764705882354"/>
    <n v="22000"/>
    <m/>
  </r>
  <r>
    <x v="154"/>
    <x v="152"/>
    <m/>
    <s v="Active"/>
    <x v="2"/>
    <x v="2"/>
    <x v="16"/>
    <n v="15000"/>
    <n v="7000"/>
    <m/>
    <n v="0.46666666666666667"/>
    <n v="22000"/>
    <m/>
  </r>
  <r>
    <x v="155"/>
    <x v="153"/>
    <m/>
    <s v="Active"/>
    <x v="2"/>
    <x v="2"/>
    <x v="16"/>
    <n v="15000"/>
    <n v="5000"/>
    <m/>
    <n v="0.33333333333333331"/>
    <n v="20000"/>
    <m/>
  </r>
  <r>
    <x v="156"/>
    <x v="154"/>
    <m/>
    <s v="Active"/>
    <x v="2"/>
    <x v="2"/>
    <x v="16"/>
    <n v="15000"/>
    <n v="5000"/>
    <m/>
    <n v="0.33333333333333331"/>
    <n v="20000"/>
    <m/>
  </r>
  <r>
    <x v="157"/>
    <x v="155"/>
    <m/>
    <s v="Active"/>
    <x v="2"/>
    <x v="2"/>
    <x v="16"/>
    <n v="15000"/>
    <n v="5000"/>
    <m/>
    <n v="0.33333333333333331"/>
    <n v="20000"/>
    <m/>
  </r>
  <r>
    <x v="158"/>
    <x v="156"/>
    <m/>
    <s v="Active"/>
    <x v="2"/>
    <x v="2"/>
    <x v="23"/>
    <n v="11000"/>
    <n v="5000"/>
    <m/>
    <n v="0.45454545454545453"/>
    <n v="16000"/>
    <m/>
  </r>
  <r>
    <x v="159"/>
    <x v="157"/>
    <m/>
    <s v="Active"/>
    <x v="2"/>
    <x v="2"/>
    <x v="20"/>
    <n v="52000"/>
    <n v="0"/>
    <m/>
    <m/>
    <n v="52000"/>
    <m/>
  </r>
  <r>
    <x v="160"/>
    <x v="158"/>
    <m/>
    <s v="Active"/>
    <x v="2"/>
    <x v="14"/>
    <x v="35"/>
    <n v="150000"/>
    <n v="3000"/>
    <m/>
    <n v="0.02"/>
    <n v="153000"/>
    <m/>
  </r>
  <r>
    <x v="161"/>
    <x v="159"/>
    <m/>
    <s v="Active"/>
    <x v="2"/>
    <x v="14"/>
    <x v="20"/>
    <n v="42000"/>
    <n v="0"/>
    <m/>
    <m/>
    <n v="42000"/>
    <m/>
  </r>
  <r>
    <x v="162"/>
    <x v="160"/>
    <m/>
    <s v="Active"/>
    <x v="2"/>
    <x v="15"/>
    <x v="7"/>
    <n v="60000"/>
    <n v="10000"/>
    <m/>
    <n v="0.16666666666666666"/>
    <n v="70000"/>
    <m/>
  </r>
  <r>
    <x v="163"/>
    <x v="161"/>
    <m/>
    <s v="Active"/>
    <x v="2"/>
    <x v="15"/>
    <x v="13"/>
    <n v="30000"/>
    <n v="5000"/>
    <m/>
    <n v="0.16666666666666666"/>
    <n v="35000"/>
    <m/>
  </r>
  <r>
    <x v="164"/>
    <x v="162"/>
    <m/>
    <s v="Active"/>
    <x v="2"/>
    <x v="5"/>
    <x v="20"/>
    <n v="70000"/>
    <n v="10000"/>
    <m/>
    <n v="0.14285714285714285"/>
    <n v="80000"/>
    <m/>
  </r>
  <r>
    <x v="165"/>
    <x v="163"/>
    <m/>
    <s v="Active"/>
    <x v="2"/>
    <x v="5"/>
    <x v="13"/>
    <n v="40000"/>
    <n v="8000"/>
    <m/>
    <n v="0.2"/>
    <n v="48000"/>
    <m/>
  </r>
  <r>
    <x v="166"/>
    <x v="164"/>
    <m/>
    <s v="Active"/>
    <x v="2"/>
    <x v="5"/>
    <x v="20"/>
    <n v="45000"/>
    <n v="8000"/>
    <m/>
    <n v="0.17777777777777778"/>
    <n v="53000"/>
    <m/>
  </r>
  <r>
    <x v="167"/>
    <x v="165"/>
    <m/>
    <s v="Active"/>
    <x v="2"/>
    <x v="5"/>
    <x v="19"/>
    <n v="30000"/>
    <n v="6000"/>
    <m/>
    <n v="0.2"/>
    <n v="36000"/>
    <m/>
  </r>
  <r>
    <x v="168"/>
    <x v="166"/>
    <m/>
    <s v="Active"/>
    <x v="2"/>
    <x v="5"/>
    <x v="16"/>
    <n v="22000"/>
    <n v="5000"/>
    <m/>
    <n v="0.22727272727272727"/>
    <n v="27000"/>
    <m/>
  </r>
  <r>
    <x v="169"/>
    <x v="167"/>
    <m/>
    <s v="Active"/>
    <x v="2"/>
    <x v="5"/>
    <x v="16"/>
    <n v="15000"/>
    <n v="7000"/>
    <m/>
    <n v="0.46666666666666667"/>
    <n v="22000"/>
    <m/>
  </r>
  <r>
    <x v="170"/>
    <x v="168"/>
    <m/>
    <s v="Active"/>
    <x v="2"/>
    <x v="5"/>
    <x v="7"/>
    <n v="80000"/>
    <n v="8000"/>
    <m/>
    <n v="0.1"/>
    <n v="88000"/>
    <m/>
  </r>
  <r>
    <x v="171"/>
    <x v="169"/>
    <m/>
    <s v="Active"/>
    <x v="2"/>
    <x v="5"/>
    <x v="7"/>
    <n v="120000"/>
    <n v="5000"/>
    <m/>
    <n v="4.1666666666666664E-2"/>
    <n v="125000"/>
    <m/>
  </r>
  <r>
    <x v="172"/>
    <x v="170"/>
    <m/>
    <s v="Active"/>
    <x v="2"/>
    <x v="5"/>
    <x v="15"/>
    <n v="10000"/>
    <n v="5000"/>
    <m/>
    <n v="0.5"/>
    <n v="15000"/>
    <m/>
  </r>
  <r>
    <x v="173"/>
    <x v="171"/>
    <m/>
    <s v="Active"/>
    <x v="2"/>
    <x v="6"/>
    <x v="20"/>
    <n v="46000"/>
    <n v="14000"/>
    <m/>
    <n v="0.30434782608695654"/>
    <n v="60000"/>
    <m/>
  </r>
  <r>
    <x v="174"/>
    <x v="172"/>
    <m/>
    <s v="Active"/>
    <x v="2"/>
    <x v="6"/>
    <x v="13"/>
    <n v="28000"/>
    <n v="7000"/>
    <m/>
    <n v="0.25"/>
    <n v="35000"/>
    <m/>
  </r>
  <r>
    <x v="175"/>
    <x v="173"/>
    <m/>
    <s v="Active"/>
    <x v="2"/>
    <x v="6"/>
    <x v="19"/>
    <n v="15000"/>
    <n v="5000"/>
    <m/>
    <n v="0.33333333333333331"/>
    <n v="20000"/>
    <m/>
  </r>
  <r>
    <x v="176"/>
    <x v="174"/>
    <m/>
    <s v="Active"/>
    <x v="2"/>
    <x v="7"/>
    <x v="36"/>
    <n v="70000"/>
    <n v="0"/>
    <m/>
    <n v="0"/>
    <n v="70000"/>
    <m/>
  </r>
  <r>
    <x v="177"/>
    <x v="175"/>
    <m/>
    <s v="Active"/>
    <x v="2"/>
    <x v="7"/>
    <x v="37"/>
    <n v="40000"/>
    <n v="0"/>
    <m/>
    <n v="0"/>
    <n v="40000"/>
    <m/>
  </r>
  <r>
    <x v="178"/>
    <x v="176"/>
    <m/>
    <s v="Active"/>
    <x v="2"/>
    <x v="7"/>
    <x v="37"/>
    <n v="45000"/>
    <n v="0"/>
    <m/>
    <n v="0"/>
    <n v="45000"/>
    <m/>
  </r>
  <r>
    <x v="179"/>
    <x v="177"/>
    <m/>
    <s v="Active"/>
    <x v="2"/>
    <x v="16"/>
    <x v="24"/>
    <n v="350000"/>
    <n v="10000"/>
    <m/>
    <n v="2.8571428571428571E-2"/>
    <n v="360000"/>
    <m/>
  </r>
  <r>
    <x v="180"/>
    <x v="178"/>
    <m/>
    <s v="Active"/>
    <x v="2"/>
    <x v="16"/>
    <x v="38"/>
    <n v="68000"/>
    <n v="32000"/>
    <m/>
    <n v="0.47058823529411764"/>
    <n v="100000"/>
    <s v="AI: 0, SP: 32k"/>
  </r>
  <r>
    <x v="181"/>
    <x v="179"/>
    <m/>
    <s v="Active"/>
    <x v="2"/>
    <x v="16"/>
    <x v="39"/>
    <n v="30000"/>
    <n v="5000"/>
    <m/>
    <n v="0.16666666666666666"/>
    <n v="35000"/>
    <m/>
  </r>
  <r>
    <x v="182"/>
    <x v="180"/>
    <m/>
    <s v="Active"/>
    <x v="2"/>
    <x v="16"/>
    <x v="40"/>
    <n v="50000"/>
    <n v="13000"/>
    <m/>
    <n v="0.26"/>
    <n v="63000"/>
    <m/>
  </r>
  <r>
    <x v="183"/>
    <x v="181"/>
    <m/>
    <s v="Active"/>
    <x v="2"/>
    <x v="16"/>
    <x v="39"/>
    <n v="25000"/>
    <n v="5000"/>
    <m/>
    <n v="0.2"/>
    <n v="30000"/>
    <m/>
  </r>
  <r>
    <x v="184"/>
    <x v="182"/>
    <m/>
    <s v="Active"/>
    <x v="2"/>
    <x v="16"/>
    <x v="40"/>
    <n v="55000"/>
    <n v="7000"/>
    <m/>
    <n v="0.12727272727272726"/>
    <n v="62000"/>
    <m/>
  </r>
  <r>
    <x v="185"/>
    <x v="183"/>
    <m/>
    <s v="Active"/>
    <x v="2"/>
    <x v="16"/>
    <x v="24"/>
    <n v="300000"/>
    <n v="0"/>
    <m/>
    <n v="0"/>
    <n v="300000"/>
    <m/>
  </r>
  <r>
    <x v="186"/>
    <x v="184"/>
    <m/>
    <s v="Active"/>
    <x v="2"/>
    <x v="16"/>
    <x v="40"/>
    <n v="70000"/>
    <n v="0"/>
    <m/>
    <n v="0"/>
    <n v="70000"/>
    <m/>
  </r>
  <r>
    <x v="187"/>
    <x v="185"/>
    <m/>
    <s v="Active"/>
    <x v="2"/>
    <x v="16"/>
    <x v="39"/>
    <n v="15000"/>
    <n v="7000"/>
    <m/>
    <n v="0.46666666666666667"/>
    <n v="22000"/>
    <m/>
  </r>
  <r>
    <x v="188"/>
    <x v="186"/>
    <m/>
    <s v="Active"/>
    <x v="2"/>
    <x v="16"/>
    <x v="16"/>
    <n v="15000"/>
    <n v="7000"/>
    <m/>
    <n v="0.46666666666666667"/>
    <n v="22000"/>
    <m/>
  </r>
  <r>
    <x v="189"/>
    <x v="187"/>
    <m/>
    <s v="Active"/>
    <x v="2"/>
    <x v="16"/>
    <x v="38"/>
    <n v="125000"/>
    <n v="0"/>
    <m/>
    <n v="0"/>
    <n v="125000"/>
    <m/>
  </r>
  <r>
    <x v="190"/>
    <x v="188"/>
    <m/>
    <s v="Active"/>
    <x v="2"/>
    <x v="16"/>
    <x v="40"/>
    <n v="80000"/>
    <n v="0"/>
    <m/>
    <n v="0"/>
    <n v="80000"/>
    <m/>
  </r>
  <r>
    <x v="191"/>
    <x v="189"/>
    <m/>
    <s v="Active"/>
    <x v="2"/>
    <x v="16"/>
    <x v="39"/>
    <n v="15000"/>
    <n v="10000"/>
    <m/>
    <n v="0.66666666666666663"/>
    <n v="25000"/>
    <m/>
  </r>
  <r>
    <x v="192"/>
    <x v="190"/>
    <m/>
    <s v="Active"/>
    <x v="2"/>
    <x v="16"/>
    <x v="39"/>
    <n v="40000"/>
    <n v="5000"/>
    <m/>
    <n v="0.125"/>
    <n v="45000"/>
    <m/>
  </r>
  <r>
    <x v="193"/>
    <x v="191"/>
    <m/>
    <s v="Active"/>
    <x v="2"/>
    <x v="16"/>
    <x v="24"/>
    <n v="225000"/>
    <n v="0"/>
    <m/>
    <n v="0"/>
    <n v="225000"/>
    <m/>
  </r>
  <r>
    <x v="194"/>
    <x v="192"/>
    <m/>
    <s v="Active"/>
    <x v="2"/>
    <x v="16"/>
    <x v="38"/>
    <n v="90000"/>
    <n v="0"/>
    <m/>
    <n v="0"/>
    <n v="90000"/>
    <m/>
  </r>
  <r>
    <x v="195"/>
    <x v="193"/>
    <m/>
    <s v="Active"/>
    <x v="2"/>
    <x v="16"/>
    <x v="39"/>
    <n v="40000"/>
    <n v="5000"/>
    <m/>
    <n v="0.125"/>
    <n v="45000"/>
    <m/>
  </r>
  <r>
    <x v="196"/>
    <x v="194"/>
    <m/>
    <s v="Active"/>
    <x v="2"/>
    <x v="16"/>
    <x v="16"/>
    <n v="15000"/>
    <n v="10000"/>
    <m/>
    <n v="0.66666666666666663"/>
    <n v="25000"/>
    <m/>
  </r>
  <r>
    <x v="197"/>
    <x v="195"/>
    <m/>
    <s v="Active"/>
    <x v="2"/>
    <x v="16"/>
    <x v="16"/>
    <n v="25000"/>
    <n v="0"/>
    <m/>
    <n v="0"/>
    <n v="25000"/>
    <m/>
  </r>
  <r>
    <x v="198"/>
    <x v="196"/>
    <m/>
    <s v="Active"/>
    <x v="2"/>
    <x v="17"/>
    <x v="41"/>
    <n v="41000"/>
    <n v="5000"/>
    <m/>
    <n v="0.12195121951219512"/>
    <n v="46000"/>
    <m/>
  </r>
  <r>
    <x v="199"/>
    <x v="197"/>
    <m/>
    <s v="Active"/>
    <x v="2"/>
    <x v="17"/>
    <x v="19"/>
    <n v="39000"/>
    <n v="5000"/>
    <m/>
    <n v="0.12820512820512819"/>
    <n v="44000"/>
    <m/>
  </r>
  <r>
    <x v="200"/>
    <x v="198"/>
    <m/>
    <s v="Active"/>
    <x v="2"/>
    <x v="17"/>
    <x v="42"/>
    <n v="150000"/>
    <n v="7000"/>
    <m/>
    <n v="4.6666666666666669E-2"/>
    <n v="157000"/>
    <m/>
  </r>
  <r>
    <x v="201"/>
    <x v="199"/>
    <m/>
    <s v="Active"/>
    <x v="2"/>
    <x v="9"/>
    <x v="13"/>
    <n v="20000"/>
    <n v="5000"/>
    <m/>
    <n v="0.25"/>
    <n v="25000"/>
    <m/>
  </r>
  <r>
    <x v="202"/>
    <x v="200"/>
    <m/>
    <s v="Active"/>
    <x v="2"/>
    <x v="9"/>
    <x v="30"/>
    <n v="55000"/>
    <n v="15000"/>
    <m/>
    <n v="0.27272727272727271"/>
    <n v="70000"/>
    <m/>
  </r>
  <r>
    <x v="203"/>
    <x v="201"/>
    <m/>
    <s v="Active"/>
    <x v="2"/>
    <x v="9"/>
    <x v="13"/>
    <n v="23000"/>
    <n v="4000"/>
    <m/>
    <n v="0.17391304347826086"/>
    <n v="27000"/>
    <m/>
  </r>
  <r>
    <x v="204"/>
    <x v="202"/>
    <m/>
    <s v="Active"/>
    <x v="2"/>
    <x v="9"/>
    <x v="11"/>
    <n v="31000"/>
    <n v="5000"/>
    <m/>
    <n v="0.16129032258064516"/>
    <n v="36000"/>
    <m/>
  </r>
  <r>
    <x v="205"/>
    <x v="203"/>
    <m/>
    <s v="Active"/>
    <x v="2"/>
    <x v="9"/>
    <x v="13"/>
    <n v="23000"/>
    <n v="5000"/>
    <m/>
    <n v="0.21739130434782608"/>
    <n v="28000"/>
    <m/>
  </r>
  <r>
    <x v="206"/>
    <x v="204"/>
    <m/>
    <s v="Active"/>
    <x v="2"/>
    <x v="9"/>
    <x v="20"/>
    <n v="40000"/>
    <n v="4000"/>
    <m/>
    <n v="0.1"/>
    <n v="44000"/>
    <m/>
  </r>
  <r>
    <x v="207"/>
    <x v="205"/>
    <m/>
    <s v="Active"/>
    <x v="2"/>
    <x v="9"/>
    <x v="13"/>
    <n v="33000"/>
    <n v="5000"/>
    <m/>
    <n v="0.15151515151515152"/>
    <n v="38000"/>
    <m/>
  </r>
  <r>
    <x v="133"/>
    <x v="132"/>
    <m/>
    <m/>
    <x v="1"/>
    <x v="13"/>
    <x v="34"/>
    <m/>
    <m/>
    <m/>
    <m/>
    <m/>
    <m/>
  </r>
  <r>
    <x v="133"/>
    <x v="132"/>
    <m/>
    <m/>
    <x v="1"/>
    <x v="13"/>
    <x v="34"/>
    <n v="3687000"/>
    <n v="391000"/>
    <m/>
    <n v="0.19709680005322608"/>
    <n v="4078000"/>
    <m/>
  </r>
  <r>
    <x v="133"/>
    <x v="132"/>
    <m/>
    <m/>
    <x v="1"/>
    <x v="13"/>
    <x v="34"/>
    <m/>
    <m/>
    <m/>
    <m/>
    <m/>
    <m/>
  </r>
  <r>
    <x v="133"/>
    <x v="132"/>
    <m/>
    <m/>
    <x v="1"/>
    <x v="13"/>
    <x v="34"/>
    <m/>
    <m/>
    <m/>
    <m/>
    <m/>
    <m/>
  </r>
  <r>
    <x v="133"/>
    <x v="132"/>
    <m/>
    <m/>
    <x v="1"/>
    <x v="13"/>
    <x v="34"/>
    <m/>
    <m/>
    <m/>
    <m/>
    <m/>
    <m/>
  </r>
  <r>
    <x v="133"/>
    <x v="132"/>
    <m/>
    <m/>
    <x v="1"/>
    <x v="13"/>
    <x v="34"/>
    <n v="3664000"/>
    <n v="391000"/>
    <m/>
    <m/>
    <m/>
    <m/>
  </r>
  <r>
    <x v="133"/>
    <x v="132"/>
    <m/>
    <m/>
    <x v="1"/>
    <x v="13"/>
    <x v="34"/>
    <m/>
    <n v="0.10671397379912664"/>
    <m/>
    <m/>
    <m/>
    <m/>
  </r>
  <r>
    <x v="133"/>
    <x v="132"/>
    <m/>
    <m/>
    <x v="1"/>
    <x v="13"/>
    <x v="3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2E6A8-C704-4824-BF67-471FE91247B1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19" firstHeaderRow="0" firstDataRow="1" firstDataCol="1" rowPageCount="1" colPageCount="1"/>
  <pivotFields count="29">
    <pivotField showAll="0">
      <items count="249">
        <item x="67"/>
        <item x="2"/>
        <item x="3"/>
        <item x="0"/>
        <item x="92"/>
        <item x="50"/>
        <item x="185"/>
        <item x="56"/>
        <item x="88"/>
        <item x="6"/>
        <item x="76"/>
        <item x="97"/>
        <item x="74"/>
        <item x="54"/>
        <item x="60"/>
        <item x="61"/>
        <item x="62"/>
        <item x="39"/>
        <item x="35"/>
        <item x="119"/>
        <item x="16"/>
        <item x="17"/>
        <item x="83"/>
        <item x="104"/>
        <item x="63"/>
        <item x="53"/>
        <item x="8"/>
        <item x="107"/>
        <item x="65"/>
        <item x="139"/>
        <item x="105"/>
        <item x="91"/>
        <item x="19"/>
        <item x="87"/>
        <item x="29"/>
        <item x="18"/>
        <item x="14"/>
        <item x="13"/>
        <item x="45"/>
        <item x="9"/>
        <item x="78"/>
        <item x="41"/>
        <item x="38"/>
        <item x="120"/>
        <item x="94"/>
        <item x="43"/>
        <item x="96"/>
        <item x="24"/>
        <item x="84"/>
        <item x="127"/>
        <item x="130"/>
        <item x="33"/>
        <item x="128"/>
        <item x="85"/>
        <item x="73"/>
        <item x="140"/>
        <item x="95"/>
        <item x="86"/>
        <item x="72"/>
        <item x="100"/>
        <item x="141"/>
        <item x="144"/>
        <item x="215"/>
        <item x="225"/>
        <item x="223"/>
        <item x="207"/>
        <item x="217"/>
        <item x="213"/>
        <item x="214"/>
        <item x="208"/>
        <item x="220"/>
        <item x="209"/>
        <item x="229"/>
        <item x="211"/>
        <item x="227"/>
        <item x="1"/>
        <item x="55"/>
        <item x="49"/>
        <item x="7"/>
        <item x="68"/>
        <item x="51"/>
        <item x="69"/>
        <item x="58"/>
        <item x="77"/>
        <item x="57"/>
        <item x="42"/>
        <item x="25"/>
        <item x="15"/>
        <item x="11"/>
        <item x="12"/>
        <item x="30"/>
        <item x="102"/>
        <item x="114"/>
        <item x="106"/>
        <item x="115"/>
        <item x="82"/>
        <item x="137"/>
        <item x="4"/>
        <item x="75"/>
        <item x="89"/>
        <item x="121"/>
        <item x="90"/>
        <item x="71"/>
        <item x="108"/>
        <item x="126"/>
        <item x="79"/>
        <item x="116"/>
        <item x="32"/>
        <item x="98"/>
        <item x="112"/>
        <item x="64"/>
        <item x="93"/>
        <item x="40"/>
        <item x="20"/>
        <item x="109"/>
        <item x="28"/>
        <item x="21"/>
        <item x="46"/>
        <item x="117"/>
        <item x="118"/>
        <item x="36"/>
        <item x="123"/>
        <item x="47"/>
        <item x="99"/>
        <item x="5"/>
        <item x="110"/>
        <item x="125"/>
        <item x="101"/>
        <item x="103"/>
        <item x="111"/>
        <item x="26"/>
        <item x="52"/>
        <item x="10"/>
        <item x="70"/>
        <item x="122"/>
        <item x="66"/>
        <item x="48"/>
        <item x="22"/>
        <item x="80"/>
        <item x="31"/>
        <item x="138"/>
        <item x="136"/>
        <item x="44"/>
        <item x="81"/>
        <item x="113"/>
        <item x="59"/>
        <item x="23"/>
        <item x="133"/>
        <item x="132"/>
        <item x="156"/>
        <item x="135"/>
        <item x="131"/>
        <item x="146"/>
        <item x="142"/>
        <item x="145"/>
        <item x="143"/>
        <item x="233"/>
        <item x="134"/>
        <item x="243"/>
        <item x="238"/>
        <item x="234"/>
        <item x="219"/>
        <item x="239"/>
        <item x="240"/>
        <item x="237"/>
        <item x="235"/>
        <item x="230"/>
        <item x="236"/>
        <item x="241"/>
        <item x="224"/>
        <item x="231"/>
        <item x="226"/>
        <item x="246"/>
        <item x="216"/>
        <item x="212"/>
        <item x="245"/>
        <item x="221"/>
        <item x="218"/>
        <item x="244"/>
        <item x="210"/>
        <item x="228"/>
        <item x="222"/>
        <item x="242"/>
        <item x="37"/>
        <item x="34"/>
        <item x="178"/>
        <item x="232"/>
        <item x="129"/>
        <item x="27"/>
        <item x="179"/>
        <item x="160"/>
        <item x="124"/>
        <item x="155"/>
        <item x="164"/>
        <item x="151"/>
        <item x="159"/>
        <item x="161"/>
        <item x="158"/>
        <item x="152"/>
        <item x="162"/>
        <item x="157"/>
        <item x="148"/>
        <item x="149"/>
        <item x="163"/>
        <item x="154"/>
        <item x="147"/>
        <item x="153"/>
        <item x="169"/>
        <item x="165"/>
        <item x="170"/>
        <item x="167"/>
        <item x="168"/>
        <item x="166"/>
        <item x="199"/>
        <item x="150"/>
        <item x="171"/>
        <item x="193"/>
        <item x="197"/>
        <item x="182"/>
        <item x="204"/>
        <item x="205"/>
        <item x="201"/>
        <item x="200"/>
        <item x="206"/>
        <item x="172"/>
        <item x="194"/>
        <item x="202"/>
        <item x="173"/>
        <item x="174"/>
        <item x="180"/>
        <item x="181"/>
        <item x="203"/>
        <item x="175"/>
        <item x="198"/>
        <item x="183"/>
        <item x="191"/>
        <item x="177"/>
        <item x="184"/>
        <item x="192"/>
        <item x="176"/>
        <item x="188"/>
        <item x="189"/>
        <item x="186"/>
        <item x="187"/>
        <item x="190"/>
        <item x="195"/>
        <item x="196"/>
        <item x="247"/>
        <item t="default"/>
      </items>
    </pivotField>
    <pivotField showAll="0"/>
    <pivotField showAll="0"/>
    <pivotField showAll="0"/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15">
        <item x="12"/>
        <item x="10"/>
        <item x="2"/>
        <item x="9"/>
        <item x="8"/>
        <item x="3"/>
        <item x="1"/>
        <item x="5"/>
        <item x="4"/>
        <item x="7"/>
        <item x="0"/>
        <item x="6"/>
        <item x="11"/>
        <item x="1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Increment_17" fld="8" baseField="0" baseItem="0"/>
    <dataField name="Sum of Salary_17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A4CB2-8B8D-4969-B86F-A0B972D457A2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19" firstHeaderRow="0" firstDataRow="1" firstDataCol="1" rowPageCount="2" colPageCount="1"/>
  <pivotFields count="13">
    <pivotField showAll="0">
      <items count="209">
        <item x="43"/>
        <item x="100"/>
        <item x="101"/>
        <item x="98"/>
        <item x="57"/>
        <item x="145"/>
        <item x="176"/>
        <item x="103"/>
        <item x="47"/>
        <item x="104"/>
        <item x="35"/>
        <item x="38"/>
        <item x="39"/>
        <item x="109"/>
        <item x="173"/>
        <item x="202"/>
        <item x="78"/>
        <item x="79"/>
        <item x="53"/>
        <item x="2"/>
        <item x="40"/>
        <item x="34"/>
        <item x="134"/>
        <item x="42"/>
        <item x="120"/>
        <item x="3"/>
        <item x="81"/>
        <item x="174"/>
        <item x="66"/>
        <item x="80"/>
        <item x="76"/>
        <item x="75"/>
        <item x="96"/>
        <item x="72"/>
        <item x="111"/>
        <item x="203"/>
        <item x="113"/>
        <item x="25"/>
        <item x="54"/>
        <item x="11"/>
        <item x="92"/>
        <item x="55"/>
        <item x="46"/>
        <item x="65"/>
        <item x="56"/>
        <item x="149"/>
        <item x="201"/>
        <item x="105"/>
        <item x="107"/>
        <item x="59"/>
        <item x="15"/>
        <item x="90"/>
        <item x="106"/>
        <item x="61"/>
        <item x="30"/>
        <item x="87"/>
        <item x="70"/>
        <item x="116"/>
        <item x="115"/>
        <item x="17"/>
        <item x="99"/>
        <item x="36"/>
        <item x="31"/>
        <item x="148"/>
        <item x="32"/>
        <item x="44"/>
        <item x="146"/>
        <item x="48"/>
        <item x="63"/>
        <item x="112"/>
        <item x="26"/>
        <item x="77"/>
        <item x="164"/>
        <item x="74"/>
        <item x="67"/>
        <item x="95"/>
        <item x="7"/>
        <item x="4"/>
        <item x="8"/>
        <item x="52"/>
        <item x="118"/>
        <item x="204"/>
        <item x="135"/>
        <item x="141"/>
        <item x="49"/>
        <item x="69"/>
        <item x="0"/>
        <item x="6"/>
        <item x="41"/>
        <item x="64"/>
        <item x="110"/>
        <item x="82"/>
        <item x="9"/>
        <item x="10"/>
        <item x="94"/>
        <item x="165"/>
        <item x="1"/>
        <item x="102"/>
        <item x="5"/>
        <item x="58"/>
        <item x="136"/>
        <item x="27"/>
        <item x="33"/>
        <item x="73"/>
        <item x="45"/>
        <item x="147"/>
        <item x="83"/>
        <item x="50"/>
        <item x="68"/>
        <item x="119"/>
        <item x="117"/>
        <item x="51"/>
        <item x="85"/>
        <item x="37"/>
        <item x="84"/>
        <item x="12"/>
        <item x="137"/>
        <item x="151"/>
        <item x="131"/>
        <item x="14"/>
        <item x="29"/>
        <item x="114"/>
        <item x="21"/>
        <item x="13"/>
        <item x="127"/>
        <item x="122"/>
        <item x="22"/>
        <item x="86"/>
        <item x="123"/>
        <item x="124"/>
        <item x="121"/>
        <item x="23"/>
        <item x="19"/>
        <item x="24"/>
        <item x="125"/>
        <item x="91"/>
        <item x="20"/>
        <item x="16"/>
        <item x="130"/>
        <item x="60"/>
        <item x="97"/>
        <item x="129"/>
        <item x="88"/>
        <item x="62"/>
        <item x="128"/>
        <item x="71"/>
        <item x="18"/>
        <item x="89"/>
        <item x="126"/>
        <item x="108"/>
        <item x="93"/>
        <item x="162"/>
        <item x="132"/>
        <item x="28"/>
        <item x="163"/>
        <item x="180"/>
        <item x="166"/>
        <item x="150"/>
        <item x="138"/>
        <item x="179"/>
        <item x="181"/>
        <item x="205"/>
        <item x="182"/>
        <item x="152"/>
        <item x="168"/>
        <item x="169"/>
        <item x="207"/>
        <item x="167"/>
        <item x="206"/>
        <item x="183"/>
        <item x="160"/>
        <item x="153"/>
        <item x="184"/>
        <item x="193"/>
        <item x="170"/>
        <item x="154"/>
        <item x="187"/>
        <item x="191"/>
        <item x="171"/>
        <item x="198"/>
        <item x="199"/>
        <item x="195"/>
        <item x="194"/>
        <item x="200"/>
        <item x="155"/>
        <item x="188"/>
        <item x="196"/>
        <item x="156"/>
        <item x="157"/>
        <item x="139"/>
        <item x="140"/>
        <item x="197"/>
        <item x="158"/>
        <item x="192"/>
        <item x="172"/>
        <item x="185"/>
        <item x="161"/>
        <item x="175"/>
        <item x="186"/>
        <item x="159"/>
        <item x="142"/>
        <item x="143"/>
        <item x="177"/>
        <item x="178"/>
        <item x="144"/>
        <item x="189"/>
        <item x="190"/>
        <item x="133"/>
        <item t="default"/>
      </items>
    </pivotField>
    <pivotField axis="axisRow" showAll="0">
      <items count="207">
        <item x="122"/>
        <item x="15"/>
        <item x="172"/>
        <item x="181"/>
        <item x="189"/>
        <item x="3"/>
        <item x="199"/>
        <item x="102"/>
        <item x="198"/>
        <item x="153"/>
        <item x="40"/>
        <item x="92"/>
        <item x="39"/>
        <item x="187"/>
        <item x="36"/>
        <item x="178"/>
        <item x="171"/>
        <item x="138"/>
        <item x="168"/>
        <item x="191"/>
        <item x="17"/>
        <item x="14"/>
        <item x="179"/>
        <item x="63"/>
        <item x="21"/>
        <item x="88"/>
        <item x="149"/>
        <item x="136"/>
        <item x="133"/>
        <item x="86"/>
        <item x="99"/>
        <item x="41"/>
        <item x="163"/>
        <item x="140"/>
        <item x="6"/>
        <item x="124"/>
        <item x="53"/>
        <item x="100"/>
        <item x="77"/>
        <item x="28"/>
        <item x="119"/>
        <item x="125"/>
        <item x="106"/>
        <item x="5"/>
        <item x="101"/>
        <item x="62"/>
        <item x="65"/>
        <item x="42"/>
        <item x="4"/>
        <item x="105"/>
        <item x="45"/>
        <item x="182"/>
        <item x="96"/>
        <item x="193"/>
        <item x="144"/>
        <item x="141"/>
        <item x="49"/>
        <item x="190"/>
        <item x="169"/>
        <item x="175"/>
        <item x="30"/>
        <item x="2"/>
        <item x="75"/>
        <item x="57"/>
        <item x="145"/>
        <item x="128"/>
        <item x="157"/>
        <item x="185"/>
        <item x="34"/>
        <item x="9"/>
        <item x="137"/>
        <item x="160"/>
        <item x="195"/>
        <item x="69"/>
        <item x="176"/>
        <item x="177"/>
        <item x="170"/>
        <item x="81"/>
        <item x="161"/>
        <item x="70"/>
        <item x="121"/>
        <item x="12"/>
        <item x="184"/>
        <item x="8"/>
        <item x="35"/>
        <item x="188"/>
        <item x="97"/>
        <item x="46"/>
        <item x="130"/>
        <item x="117"/>
        <item x="60"/>
        <item x="194"/>
        <item x="166"/>
        <item x="129"/>
        <item x="61"/>
        <item x="29"/>
        <item x="26"/>
        <item x="11"/>
        <item x="204"/>
        <item x="55"/>
        <item x="56"/>
        <item x="131"/>
        <item x="27"/>
        <item x="109"/>
        <item x="93"/>
        <item x="23"/>
        <item x="151"/>
        <item x="47"/>
        <item x="111"/>
        <item x="50"/>
        <item x="112"/>
        <item x="80"/>
        <item x="108"/>
        <item x="107"/>
        <item x="94"/>
        <item x="95"/>
        <item x="20"/>
        <item x="83"/>
        <item x="78"/>
        <item x="103"/>
        <item x="118"/>
        <item x="76"/>
        <item x="66"/>
        <item x="196"/>
        <item x="134"/>
        <item x="143"/>
        <item x="19"/>
        <item x="24"/>
        <item x="67"/>
        <item x="82"/>
        <item x="164"/>
        <item x="1"/>
        <item x="104"/>
        <item x="16"/>
        <item x="38"/>
        <item x="0"/>
        <item x="74"/>
        <item x="159"/>
        <item x="116"/>
        <item x="87"/>
        <item x="203"/>
        <item x="22"/>
        <item x="10"/>
        <item x="127"/>
        <item x="186"/>
        <item x="7"/>
        <item x="147"/>
        <item x="154"/>
        <item x="64"/>
        <item x="115"/>
        <item x="174"/>
        <item x="139"/>
        <item x="51"/>
        <item x="180"/>
        <item x="192"/>
        <item x="123"/>
        <item x="72"/>
        <item x="25"/>
        <item x="165"/>
        <item x="71"/>
        <item x="201"/>
        <item x="158"/>
        <item x="110"/>
        <item x="73"/>
        <item x="150"/>
        <item x="173"/>
        <item x="98"/>
        <item x="58"/>
        <item x="162"/>
        <item x="91"/>
        <item x="89"/>
        <item x="200"/>
        <item x="85"/>
        <item x="79"/>
        <item x="37"/>
        <item x="183"/>
        <item x="148"/>
        <item x="13"/>
        <item x="142"/>
        <item x="52"/>
        <item x="146"/>
        <item x="48"/>
        <item x="59"/>
        <item x="31"/>
        <item x="114"/>
        <item x="135"/>
        <item x="90"/>
        <item x="18"/>
        <item x="202"/>
        <item x="54"/>
        <item x="120"/>
        <item x="152"/>
        <item x="205"/>
        <item x="155"/>
        <item x="43"/>
        <item x="33"/>
        <item x="197"/>
        <item x="84"/>
        <item x="44"/>
        <item x="156"/>
        <item x="32"/>
        <item x="167"/>
        <item x="113"/>
        <item x="68"/>
        <item x="126"/>
        <item x="132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Page" showAll="0">
      <items count="19">
        <item x="0"/>
        <item x="1"/>
        <item x="2"/>
        <item x="14"/>
        <item x="15"/>
        <item x="3"/>
        <item x="4"/>
        <item x="5"/>
        <item x="6"/>
        <item x="7"/>
        <item x="16"/>
        <item x="8"/>
        <item x="17"/>
        <item x="9"/>
        <item x="10"/>
        <item x="11"/>
        <item x="12"/>
        <item x="13"/>
        <item t="default"/>
      </items>
    </pivotField>
    <pivotField axis="axisRow" showAll="0">
      <items count="44">
        <item x="0"/>
        <item x="40"/>
        <item x="20"/>
        <item x="5"/>
        <item x="12"/>
        <item x="22"/>
        <item x="3"/>
        <item x="4"/>
        <item x="24"/>
        <item x="31"/>
        <item x="33"/>
        <item x="13"/>
        <item x="18"/>
        <item x="9"/>
        <item x="10"/>
        <item x="35"/>
        <item x="21"/>
        <item x="36"/>
        <item x="25"/>
        <item x="28"/>
        <item x="27"/>
        <item x="29"/>
        <item x="26"/>
        <item x="42"/>
        <item x="30"/>
        <item x="14"/>
        <item x="17"/>
        <item x="15"/>
        <item x="39"/>
        <item x="32"/>
        <item x="7"/>
        <item x="23"/>
        <item x="19"/>
        <item x="2"/>
        <item x="6"/>
        <item x="1"/>
        <item x="38"/>
        <item x="8"/>
        <item x="37"/>
        <item x="11"/>
        <item x="41"/>
        <item x="16"/>
        <item x="34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</pivotFields>
  <rowFields count="2">
    <field x="1"/>
    <field x="6"/>
  </rowFields>
  <rowItems count="15">
    <i>
      <x v="17"/>
    </i>
    <i r="1">
      <x v="31"/>
    </i>
    <i>
      <x v="27"/>
    </i>
    <i r="1">
      <x v="6"/>
    </i>
    <i>
      <x v="28"/>
    </i>
    <i r="1">
      <x v="31"/>
    </i>
    <i>
      <x v="70"/>
    </i>
    <i r="1">
      <x v="31"/>
    </i>
    <i>
      <x v="96"/>
    </i>
    <i r="1">
      <x v="31"/>
    </i>
    <i>
      <x v="124"/>
    </i>
    <i r="1">
      <x v="31"/>
    </i>
    <i>
      <x v="185"/>
    </i>
    <i r="1">
      <x v="3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item="1" hier="-1"/>
    <pageField fld="5" item="0" hier="-1"/>
  </pageFields>
  <dataFields count="3">
    <dataField name="Sum of Increment_20" fld="8" baseField="0" baseItem="0"/>
    <dataField name="Sum of Perc_20" fld="10" showDataAs="percentOfCol" baseField="0" baseItem="0" numFmtId="10"/>
    <dataField name="Sum of Salary_20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491BE-6581-4842-AFD9-81C2ED40A57E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C4" firstHeaderRow="0" firstDataRow="1" firstDataCol="0" rowPageCount="1" colPageCount="1"/>
  <pivotFields count="29">
    <pivotField showAll="0"/>
    <pivotField axis="axisPage" showAll="0">
      <items count="247">
        <item x="236"/>
        <item x="91"/>
        <item x="87"/>
        <item x="164"/>
        <item x="196"/>
        <item x="105"/>
        <item x="100"/>
        <item x="6"/>
        <item x="166"/>
        <item x="205"/>
        <item x="171"/>
        <item x="63"/>
        <item x="34"/>
        <item x="62"/>
        <item x="194"/>
        <item x="55"/>
        <item x="159"/>
        <item x="35"/>
        <item x="180"/>
        <item x="149"/>
        <item x="198"/>
        <item x="224"/>
        <item x="145"/>
        <item x="71"/>
        <item x="160"/>
        <item x="28"/>
        <item x="93"/>
        <item x="230"/>
        <item x="220"/>
        <item x="155"/>
        <item x="163"/>
        <item x="107"/>
        <item x="213"/>
        <item x="218"/>
        <item x="88"/>
        <item x="7"/>
        <item x="157"/>
        <item x="2"/>
        <item x="64"/>
        <item x="123"/>
        <item x="187"/>
        <item x="112"/>
        <item x="109"/>
        <item x="238"/>
        <item x="83"/>
        <item x="3"/>
        <item x="16"/>
        <item x="48"/>
        <item x="27"/>
        <item x="138"/>
        <item x="239"/>
        <item x="143"/>
        <item x="96"/>
        <item x="110"/>
        <item x="5"/>
        <item x="57"/>
        <item x="29"/>
        <item x="65"/>
        <item x="106"/>
        <item x="206"/>
        <item x="70"/>
        <item x="165"/>
        <item x="211"/>
        <item x="200"/>
        <item x="58"/>
        <item x="188"/>
        <item x="79"/>
        <item x="197"/>
        <item x="139"/>
        <item x="181"/>
        <item x="185"/>
        <item x="207"/>
        <item x="104"/>
        <item x="14"/>
        <item x="92"/>
        <item x="66"/>
        <item x="242"/>
        <item x="175"/>
        <item x="192"/>
        <item x="38"/>
        <item x="94"/>
        <item x="53"/>
        <item x="117"/>
        <item x="179"/>
        <item x="177"/>
        <item x="202"/>
        <item x="208"/>
        <item x="186"/>
        <item x="158"/>
        <item x="182"/>
        <item x="20"/>
        <item x="178"/>
        <item x="209"/>
        <item x="235"/>
        <item x="132"/>
        <item x="191"/>
        <item x="115"/>
        <item x="54"/>
        <item x="195"/>
        <item x="0"/>
        <item x="73"/>
        <item x="131"/>
        <item x="89"/>
        <item x="103"/>
        <item x="136"/>
        <item x="215"/>
        <item x="8"/>
        <item x="201"/>
        <item x="4"/>
        <item x="147"/>
        <item x="243"/>
        <item x="216"/>
        <item x="134"/>
        <item x="125"/>
        <item x="141"/>
        <item x="25"/>
        <item x="130"/>
        <item x="152"/>
        <item x="116"/>
        <item x="85"/>
        <item x="86"/>
        <item x="229"/>
        <item x="212"/>
        <item x="162"/>
        <item x="97"/>
        <item x="26"/>
        <item x="40"/>
        <item x="36"/>
        <item x="232"/>
        <item x="167"/>
        <item x="76"/>
        <item x="42"/>
        <item x="46"/>
        <item x="80"/>
        <item x="43"/>
        <item x="47"/>
        <item x="150"/>
        <item x="19"/>
        <item x="39"/>
        <item x="37"/>
        <item x="102"/>
        <item x="144"/>
        <item x="45"/>
        <item x="44"/>
        <item x="228"/>
        <item x="23"/>
        <item x="17"/>
        <item x="74"/>
        <item x="137"/>
        <item x="15"/>
        <item x="30"/>
        <item x="203"/>
        <item x="108"/>
        <item x="50"/>
        <item x="227"/>
        <item x="233"/>
        <item x="75"/>
        <item x="31"/>
        <item x="22"/>
        <item x="124"/>
        <item x="99"/>
        <item x="140"/>
        <item x="223"/>
        <item x="61"/>
        <item x="98"/>
        <item x="129"/>
        <item x="13"/>
        <item x="176"/>
        <item x="135"/>
        <item x="219"/>
        <item x="151"/>
        <item x="231"/>
        <item x="118"/>
        <item x="241"/>
        <item x="193"/>
        <item x="114"/>
        <item x="72"/>
        <item x="172"/>
        <item x="95"/>
        <item x="226"/>
        <item x="184"/>
        <item x="126"/>
        <item x="81"/>
        <item x="161"/>
        <item x="199"/>
        <item x="237"/>
        <item x="168"/>
        <item x="10"/>
        <item x="24"/>
        <item x="146"/>
        <item x="9"/>
        <item x="120"/>
        <item x="169"/>
        <item x="90"/>
        <item x="41"/>
        <item x="12"/>
        <item x="156"/>
        <item x="183"/>
        <item x="1"/>
        <item x="101"/>
        <item x="56"/>
        <item x="11"/>
        <item x="33"/>
        <item x="21"/>
        <item x="221"/>
        <item x="119"/>
        <item x="217"/>
        <item x="18"/>
        <item x="59"/>
        <item x="60"/>
        <item x="190"/>
        <item x="154"/>
        <item x="133"/>
        <item x="127"/>
        <item x="189"/>
        <item x="82"/>
        <item x="68"/>
        <item x="77"/>
        <item x="214"/>
        <item x="49"/>
        <item x="122"/>
        <item x="210"/>
        <item x="111"/>
        <item x="222"/>
        <item x="225"/>
        <item x="121"/>
        <item x="84"/>
        <item x="128"/>
        <item x="234"/>
        <item x="170"/>
        <item x="153"/>
        <item x="173"/>
        <item x="67"/>
        <item x="52"/>
        <item x="204"/>
        <item x="113"/>
        <item x="69"/>
        <item x="174"/>
        <item x="51"/>
        <item x="148"/>
        <item x="142"/>
        <item x="78"/>
        <item x="32"/>
        <item x="240"/>
        <item x="244"/>
        <item x="24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4">
        <item x="5"/>
        <item x="11"/>
        <item x="9"/>
        <item x="6"/>
        <item x="4"/>
        <item x="7"/>
        <item x="1"/>
        <item x="8"/>
        <item x="3"/>
        <item x="0"/>
        <item x="12"/>
        <item x="1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" item="3" hier="-1"/>
  </pageFields>
  <dataFields count="3">
    <dataField name="Sum of Increment_17" fld="8" baseField="0" baseItem="0"/>
    <dataField name="Sum of Increment_18" fld="16" baseField="0" baseItem="0"/>
    <dataField name="Sum of Increment_20" fld="25" baseField="0" baseItem="0"/>
  </dataField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5C40-7B4C-42A6-B515-A7BF87B5B4F8}">
  <dimension ref="A2:C19"/>
  <sheetViews>
    <sheetView topLeftCell="A4" workbookViewId="0">
      <selection activeCell="F6" sqref="F6"/>
    </sheetView>
  </sheetViews>
  <sheetFormatPr defaultRowHeight="14.5" x14ac:dyDescent="0.35"/>
  <cols>
    <col min="1" max="1" width="20.90625" bestFit="1" customWidth="1"/>
    <col min="2" max="2" width="18.90625" bestFit="1" customWidth="1"/>
    <col min="3" max="3" width="15.1796875" bestFit="1" customWidth="1"/>
  </cols>
  <sheetData>
    <row r="2" spans="1:3" x14ac:dyDescent="0.35">
      <c r="A2" s="37" t="s">
        <v>15</v>
      </c>
      <c r="B2" t="s">
        <v>290</v>
      </c>
    </row>
    <row r="4" spans="1:3" x14ac:dyDescent="0.35">
      <c r="A4" s="37" t="s">
        <v>291</v>
      </c>
      <c r="B4" t="s">
        <v>294</v>
      </c>
      <c r="C4" t="s">
        <v>295</v>
      </c>
    </row>
    <row r="5" spans="1:3" x14ac:dyDescent="0.35">
      <c r="A5" s="38">
        <v>0</v>
      </c>
      <c r="B5" s="36">
        <v>0</v>
      </c>
      <c r="C5" s="36">
        <v>0</v>
      </c>
    </row>
    <row r="6" spans="1:3" x14ac:dyDescent="0.35">
      <c r="A6" s="38" t="s">
        <v>20</v>
      </c>
      <c r="B6" s="36">
        <v>30500</v>
      </c>
      <c r="C6" s="36">
        <v>507500</v>
      </c>
    </row>
    <row r="7" spans="1:3" x14ac:dyDescent="0.35">
      <c r="A7" s="38" t="s">
        <v>37</v>
      </c>
      <c r="B7" s="36">
        <v>33000</v>
      </c>
      <c r="C7" s="36">
        <v>391000</v>
      </c>
    </row>
    <row r="8" spans="1:3" x14ac:dyDescent="0.35">
      <c r="A8" s="38" t="s">
        <v>18</v>
      </c>
      <c r="B8" s="36">
        <v>40000</v>
      </c>
      <c r="C8" s="36">
        <v>270000</v>
      </c>
    </row>
    <row r="9" spans="1:3" x14ac:dyDescent="0.35">
      <c r="A9" s="38" t="s">
        <v>19</v>
      </c>
      <c r="B9" s="36">
        <v>134000</v>
      </c>
      <c r="C9" s="36">
        <v>1115000</v>
      </c>
    </row>
    <row r="10" spans="1:3" x14ac:dyDescent="0.35">
      <c r="A10" s="38" t="s">
        <v>137</v>
      </c>
      <c r="B10" s="36">
        <v>20000</v>
      </c>
      <c r="C10" s="36">
        <v>120000</v>
      </c>
    </row>
    <row r="11" spans="1:3" x14ac:dyDescent="0.35">
      <c r="A11" s="38" t="s">
        <v>36</v>
      </c>
      <c r="B11" s="36">
        <v>59000</v>
      </c>
      <c r="C11" s="36">
        <v>844000</v>
      </c>
    </row>
    <row r="12" spans="1:3" x14ac:dyDescent="0.35">
      <c r="A12" s="38" t="s">
        <v>138</v>
      </c>
      <c r="B12" s="36">
        <v>11000</v>
      </c>
      <c r="C12" s="36">
        <v>125000</v>
      </c>
    </row>
    <row r="13" spans="1:3" x14ac:dyDescent="0.35">
      <c r="A13" s="38" t="s">
        <v>174</v>
      </c>
      <c r="B13" s="36">
        <v>0</v>
      </c>
      <c r="C13" s="36">
        <v>0</v>
      </c>
    </row>
    <row r="14" spans="1:3" x14ac:dyDescent="0.35">
      <c r="A14" s="38" t="s">
        <v>146</v>
      </c>
      <c r="B14" s="36">
        <v>11000</v>
      </c>
      <c r="C14" s="36">
        <v>143000</v>
      </c>
    </row>
    <row r="15" spans="1:3" x14ac:dyDescent="0.35">
      <c r="A15" s="38" t="s">
        <v>131</v>
      </c>
      <c r="B15" s="36">
        <v>60000</v>
      </c>
      <c r="C15" s="36">
        <v>648000</v>
      </c>
    </row>
    <row r="16" spans="1:3" x14ac:dyDescent="0.35">
      <c r="A16" s="38" t="s">
        <v>32</v>
      </c>
      <c r="B16" s="36">
        <v>30000</v>
      </c>
      <c r="C16" s="36">
        <v>344000</v>
      </c>
    </row>
    <row r="17" spans="1:3" x14ac:dyDescent="0.35">
      <c r="A17" s="38" t="s">
        <v>211</v>
      </c>
      <c r="B17" s="36">
        <v>6000</v>
      </c>
      <c r="C17" s="36">
        <v>86000</v>
      </c>
    </row>
    <row r="18" spans="1:3" x14ac:dyDescent="0.35">
      <c r="A18" s="38" t="s">
        <v>292</v>
      </c>
      <c r="B18" s="36">
        <v>5000</v>
      </c>
      <c r="C18" s="36">
        <v>52000</v>
      </c>
    </row>
    <row r="19" spans="1:3" x14ac:dyDescent="0.35">
      <c r="A19" s="38" t="s">
        <v>293</v>
      </c>
      <c r="B19" s="36">
        <v>439500</v>
      </c>
      <c r="C19" s="36">
        <v>4645500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0"/>
  <sheetViews>
    <sheetView tabSelected="1" zoomScale="70" zoomScaleNormal="70" workbookViewId="0">
      <pane xSplit="3" topLeftCell="D1" activePane="topRight" state="frozen"/>
      <selection pane="topRight" activeCell="J2" sqref="J2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81640625" style="3" customWidth="1"/>
    <col min="6" max="6" width="8.81640625" style="2" customWidth="1"/>
    <col min="7" max="7" width="10.08984375" style="2" bestFit="1" customWidth="1"/>
    <col min="8" max="8" width="18" style="2" bestFit="1" customWidth="1"/>
    <col min="9" max="9" width="22.1796875" style="2" bestFit="1" customWidth="1"/>
    <col min="10" max="10" width="9.08984375" style="3" customWidth="1"/>
    <col min="11" max="11" width="8.7265625" style="2" customWidth="1"/>
    <col min="12" max="12" width="9.08984375" style="2" customWidth="1"/>
    <col min="13" max="13" width="12.453125" style="2" bestFit="1" customWidth="1"/>
    <col min="14" max="14" width="7.81640625" style="2" customWidth="1"/>
    <col min="15" max="15" width="9.08984375" style="2" customWidth="1"/>
    <col min="16" max="16" width="16.453125" style="2" customWidth="1"/>
    <col min="17" max="17" width="23.36328125" style="2" customWidth="1"/>
    <col min="18" max="18" width="15.36328125" style="2" customWidth="1"/>
    <col min="19" max="19" width="8.7265625" style="3"/>
    <col min="20" max="20" width="8.7265625" style="2"/>
    <col min="21" max="21" width="9.54296875" style="42" customWidth="1"/>
    <col min="22" max="22" width="8.7265625" style="2"/>
    <col min="23" max="23" width="15.6328125" style="2" customWidth="1"/>
    <col min="24" max="25" width="8.7265625" style="31"/>
    <col min="26" max="26" width="13.6328125" style="31" bestFit="1" customWidth="1"/>
    <col min="27" max="27" width="16" style="32" bestFit="1" customWidth="1"/>
    <col min="28" max="28" width="10.81640625" style="32" customWidth="1"/>
    <col min="29" max="29" width="9.54296875" style="33" bestFit="1" customWidth="1"/>
    <col min="30" max="30" width="8.7265625" style="32"/>
    <col min="31" max="31" width="8.7265625" style="40"/>
    <col min="32" max="32" width="10.81640625" style="31" bestFit="1" customWidth="1"/>
    <col min="33" max="33" width="10.81640625" style="32" customWidth="1"/>
    <col min="34" max="16384" width="8.7265625" style="1"/>
  </cols>
  <sheetData>
    <row r="1" spans="1:33" s="4" customFormat="1" ht="35.5" customHeight="1" x14ac:dyDescent="0.35">
      <c r="A1" s="15" t="s">
        <v>0</v>
      </c>
      <c r="B1" s="18" t="s">
        <v>1</v>
      </c>
      <c r="C1" s="18" t="s">
        <v>2</v>
      </c>
      <c r="D1" s="18" t="s">
        <v>183</v>
      </c>
      <c r="E1" s="19" t="s">
        <v>16</v>
      </c>
      <c r="F1" s="19" t="s">
        <v>263</v>
      </c>
      <c r="G1" s="20" t="s">
        <v>15</v>
      </c>
      <c r="H1" s="20" t="s">
        <v>13</v>
      </c>
      <c r="I1" s="20" t="s">
        <v>14</v>
      </c>
      <c r="J1" s="20" t="s">
        <v>12</v>
      </c>
      <c r="K1" s="20" t="s">
        <v>11</v>
      </c>
      <c r="L1" s="20" t="s">
        <v>10</v>
      </c>
      <c r="M1" s="20" t="s">
        <v>247</v>
      </c>
      <c r="N1" s="20" t="s">
        <v>263</v>
      </c>
      <c r="O1" s="20" t="s">
        <v>164</v>
      </c>
      <c r="P1" s="20" t="s">
        <v>165</v>
      </c>
      <c r="Q1" s="20" t="s">
        <v>166</v>
      </c>
      <c r="R1" s="19" t="s">
        <v>375</v>
      </c>
      <c r="S1" s="20" t="s">
        <v>167</v>
      </c>
      <c r="T1" s="20" t="s">
        <v>181</v>
      </c>
      <c r="U1" s="19" t="s">
        <v>376</v>
      </c>
      <c r="V1" s="20" t="s">
        <v>168</v>
      </c>
      <c r="W1" s="27" t="s">
        <v>248</v>
      </c>
      <c r="X1" s="26" t="s">
        <v>173</v>
      </c>
      <c r="Y1" s="26" t="s">
        <v>250</v>
      </c>
      <c r="Z1" s="26" t="s">
        <v>251</v>
      </c>
      <c r="AA1" s="26" t="s">
        <v>252</v>
      </c>
      <c r="AB1" s="35" t="s">
        <v>374</v>
      </c>
      <c r="AC1" s="26" t="s">
        <v>253</v>
      </c>
      <c r="AD1" s="26" t="s">
        <v>254</v>
      </c>
      <c r="AE1" s="39" t="s">
        <v>296</v>
      </c>
      <c r="AF1" s="26" t="s">
        <v>255</v>
      </c>
      <c r="AG1" s="26" t="s">
        <v>256</v>
      </c>
    </row>
    <row r="2" spans="1:33" x14ac:dyDescent="0.25">
      <c r="A2" s="16"/>
      <c r="B2" s="8">
        <v>10062011</v>
      </c>
      <c r="C2" s="8" t="s">
        <v>38</v>
      </c>
      <c r="D2" s="8"/>
      <c r="E2" s="9">
        <v>9000</v>
      </c>
      <c r="F2" s="10" t="s">
        <v>175</v>
      </c>
      <c r="G2" s="10" t="s">
        <v>7</v>
      </c>
      <c r="H2" s="10" t="s">
        <v>131</v>
      </c>
      <c r="I2" s="10" t="s">
        <v>130</v>
      </c>
      <c r="J2" s="9">
        <v>10000</v>
      </c>
      <c r="K2" s="10"/>
      <c r="L2" s="10">
        <v>102000</v>
      </c>
      <c r="M2" s="10"/>
      <c r="N2" s="10" t="s">
        <v>175</v>
      </c>
      <c r="O2" s="10" t="s">
        <v>7</v>
      </c>
      <c r="P2" s="10" t="s">
        <v>131</v>
      </c>
      <c r="Q2" s="10" t="s">
        <v>169</v>
      </c>
      <c r="R2" s="10">
        <f>V2-S2</f>
        <v>102000</v>
      </c>
      <c r="S2" s="9">
        <v>48000</v>
      </c>
      <c r="T2" s="10"/>
      <c r="U2" s="41">
        <f>S2/R2</f>
        <v>0.47058823529411764</v>
      </c>
      <c r="V2" s="10">
        <f>L2+S2</f>
        <v>150000</v>
      </c>
      <c r="W2" s="28" t="s">
        <v>269</v>
      </c>
      <c r="X2" s="31" t="s">
        <v>175</v>
      </c>
      <c r="Y2" s="31" t="s">
        <v>7</v>
      </c>
      <c r="Z2" s="31" t="s">
        <v>131</v>
      </c>
      <c r="AA2" s="32" t="s">
        <v>268</v>
      </c>
      <c r="AB2" s="34">
        <f>AF2-AC2</f>
        <v>150000</v>
      </c>
      <c r="AC2" s="33">
        <v>25000</v>
      </c>
      <c r="AE2" s="40">
        <f>AC2/AB2</f>
        <v>0.16666666666666666</v>
      </c>
      <c r="AF2" s="31">
        <f t="shared" ref="AF2:AF12" si="0">V2+AC2</f>
        <v>175000</v>
      </c>
    </row>
    <row r="3" spans="1:33" x14ac:dyDescent="0.25">
      <c r="A3" s="16"/>
      <c r="B3" s="8">
        <v>20042012</v>
      </c>
      <c r="C3" s="8" t="s">
        <v>39</v>
      </c>
      <c r="D3" s="8"/>
      <c r="E3" s="9">
        <v>5000</v>
      </c>
      <c r="F3" s="10" t="s">
        <v>175</v>
      </c>
      <c r="G3" s="10" t="s">
        <v>7</v>
      </c>
      <c r="H3" s="10" t="s">
        <v>131</v>
      </c>
      <c r="I3" s="10" t="s">
        <v>130</v>
      </c>
      <c r="J3" s="9">
        <v>10000</v>
      </c>
      <c r="K3" s="10"/>
      <c r="L3" s="10">
        <v>100000</v>
      </c>
      <c r="M3" s="10"/>
      <c r="N3" s="10" t="s">
        <v>175</v>
      </c>
      <c r="O3" s="10" t="s">
        <v>7</v>
      </c>
      <c r="P3" s="10" t="s">
        <v>131</v>
      </c>
      <c r="Q3" s="10" t="s">
        <v>172</v>
      </c>
      <c r="R3" s="10">
        <f t="shared" ref="R3:R66" si="1">V3-S3</f>
        <v>100000</v>
      </c>
      <c r="S3" s="9">
        <v>20000</v>
      </c>
      <c r="T3" s="10"/>
      <c r="U3" s="41">
        <f t="shared" ref="U3:U66" si="2">S3/R3</f>
        <v>0.2</v>
      </c>
      <c r="V3" s="10">
        <f t="shared" ref="V3:V69" si="3">L3+S3</f>
        <v>120000</v>
      </c>
      <c r="W3" s="28"/>
      <c r="X3" s="31" t="s">
        <v>175</v>
      </c>
      <c r="Y3" s="31" t="s">
        <v>7</v>
      </c>
      <c r="Z3" s="31" t="s">
        <v>131</v>
      </c>
      <c r="AA3" s="32" t="s">
        <v>270</v>
      </c>
      <c r="AB3" s="34">
        <f>AF3-AC3</f>
        <v>120000</v>
      </c>
      <c r="AC3" s="33">
        <v>25000</v>
      </c>
      <c r="AE3" s="40">
        <f t="shared" ref="AE3:AE66" si="4">AC3/AB3</f>
        <v>0.20833333333333334</v>
      </c>
      <c r="AF3" s="31">
        <f t="shared" si="0"/>
        <v>145000</v>
      </c>
    </row>
    <row r="4" spans="1:33" x14ac:dyDescent="0.25">
      <c r="A4" s="16"/>
      <c r="B4" s="8">
        <v>10042008</v>
      </c>
      <c r="C4" s="8" t="s">
        <v>126</v>
      </c>
      <c r="D4" s="8"/>
      <c r="E4" s="9">
        <v>3000</v>
      </c>
      <c r="F4" s="10" t="s">
        <v>175</v>
      </c>
      <c r="G4" s="10" t="s">
        <v>7</v>
      </c>
      <c r="H4" s="10" t="s">
        <v>131</v>
      </c>
      <c r="I4" s="10" t="s">
        <v>130</v>
      </c>
      <c r="J4" s="9">
        <v>10000</v>
      </c>
      <c r="K4" s="10"/>
      <c r="L4" s="10">
        <v>100000</v>
      </c>
      <c r="M4" s="10"/>
      <c r="N4" s="10" t="s">
        <v>175</v>
      </c>
      <c r="O4" s="10" t="s">
        <v>7</v>
      </c>
      <c r="P4" s="10" t="s">
        <v>131</v>
      </c>
      <c r="Q4" s="10" t="s">
        <v>170</v>
      </c>
      <c r="R4" s="10">
        <f t="shared" si="1"/>
        <v>100000</v>
      </c>
      <c r="S4" s="9">
        <v>20000</v>
      </c>
      <c r="T4" s="10"/>
      <c r="U4" s="41">
        <f t="shared" si="2"/>
        <v>0.2</v>
      </c>
      <c r="V4" s="10">
        <f t="shared" si="3"/>
        <v>120000</v>
      </c>
      <c r="W4" s="28"/>
      <c r="X4" s="31" t="s">
        <v>175</v>
      </c>
      <c r="Y4" s="31" t="s">
        <v>7</v>
      </c>
      <c r="Z4" s="31" t="s">
        <v>131</v>
      </c>
      <c r="AA4" s="32" t="s">
        <v>271</v>
      </c>
      <c r="AB4" s="34">
        <f>AF4-AC4</f>
        <v>120000</v>
      </c>
      <c r="AC4" s="33">
        <v>25000</v>
      </c>
      <c r="AE4" s="40">
        <f t="shared" si="4"/>
        <v>0.20833333333333334</v>
      </c>
      <c r="AF4" s="31">
        <f t="shared" si="0"/>
        <v>145000</v>
      </c>
    </row>
    <row r="5" spans="1:33" x14ac:dyDescent="0.25">
      <c r="A5" s="16"/>
      <c r="B5" s="8">
        <v>10052012</v>
      </c>
      <c r="C5" s="8" t="s">
        <v>40</v>
      </c>
      <c r="D5" s="8"/>
      <c r="E5" s="9">
        <v>10000</v>
      </c>
      <c r="F5" s="10" t="s">
        <v>175</v>
      </c>
      <c r="G5" s="10" t="s">
        <v>7</v>
      </c>
      <c r="H5" s="10" t="s">
        <v>131</v>
      </c>
      <c r="I5" s="10" t="s">
        <v>130</v>
      </c>
      <c r="J5" s="9">
        <v>10000</v>
      </c>
      <c r="K5" s="10"/>
      <c r="L5" s="10">
        <v>90000</v>
      </c>
      <c r="M5" s="10"/>
      <c r="N5" s="10" t="s">
        <v>175</v>
      </c>
      <c r="O5" s="10" t="s">
        <v>7</v>
      </c>
      <c r="P5" s="10" t="s">
        <v>131</v>
      </c>
      <c r="Q5" s="10" t="s">
        <v>171</v>
      </c>
      <c r="R5" s="10">
        <f t="shared" si="1"/>
        <v>90000</v>
      </c>
      <c r="S5" s="9">
        <v>20000</v>
      </c>
      <c r="T5" s="10"/>
      <c r="U5" s="41">
        <f t="shared" si="2"/>
        <v>0.22222222222222221</v>
      </c>
      <c r="V5" s="10">
        <f t="shared" si="3"/>
        <v>110000</v>
      </c>
      <c r="W5" s="28"/>
      <c r="X5" s="31" t="s">
        <v>175</v>
      </c>
      <c r="Y5" s="31" t="s">
        <v>7</v>
      </c>
      <c r="Z5" s="31" t="s">
        <v>131</v>
      </c>
      <c r="AA5" s="32" t="s">
        <v>272</v>
      </c>
      <c r="AB5" s="34">
        <f>AF5-AC5</f>
        <v>110000</v>
      </c>
      <c r="AC5" s="33">
        <v>40000</v>
      </c>
      <c r="AE5" s="40">
        <f t="shared" si="4"/>
        <v>0.36363636363636365</v>
      </c>
      <c r="AF5" s="31">
        <f t="shared" si="0"/>
        <v>150000</v>
      </c>
    </row>
    <row r="6" spans="1:33" x14ac:dyDescent="0.25">
      <c r="A6" s="16"/>
      <c r="B6" s="8">
        <v>20532015</v>
      </c>
      <c r="C6" s="8" t="s">
        <v>127</v>
      </c>
      <c r="D6" s="8"/>
      <c r="E6" s="9">
        <v>5000</v>
      </c>
      <c r="F6" s="10" t="s">
        <v>175</v>
      </c>
      <c r="G6" s="10" t="s">
        <v>7</v>
      </c>
      <c r="H6" s="10" t="s">
        <v>131</v>
      </c>
      <c r="I6" s="10" t="s">
        <v>21</v>
      </c>
      <c r="J6" s="9">
        <v>5000</v>
      </c>
      <c r="K6" s="10"/>
      <c r="L6" s="10">
        <v>60000</v>
      </c>
      <c r="M6" s="10"/>
      <c r="N6" s="10" t="s">
        <v>175</v>
      </c>
      <c r="O6" s="10" t="s">
        <v>7</v>
      </c>
      <c r="P6" s="10" t="s">
        <v>131</v>
      </c>
      <c r="Q6" s="10" t="s">
        <v>21</v>
      </c>
      <c r="R6" s="10">
        <f t="shared" si="1"/>
        <v>60000</v>
      </c>
      <c r="S6" s="9">
        <v>10000</v>
      </c>
      <c r="T6" s="10"/>
      <c r="U6" s="41">
        <f t="shared" si="2"/>
        <v>0.16666666666666666</v>
      </c>
      <c r="V6" s="10">
        <f t="shared" si="3"/>
        <v>70000</v>
      </c>
      <c r="W6" s="28"/>
      <c r="X6" s="31" t="s">
        <v>174</v>
      </c>
      <c r="AB6" s="34"/>
      <c r="AF6" s="31">
        <f t="shared" si="0"/>
        <v>70000</v>
      </c>
    </row>
    <row r="7" spans="1:33" x14ac:dyDescent="0.25">
      <c r="A7" s="16"/>
      <c r="B7" s="8">
        <v>21072016</v>
      </c>
      <c r="C7" s="8" t="s">
        <v>41</v>
      </c>
      <c r="D7" s="8"/>
      <c r="E7" s="9">
        <v>0</v>
      </c>
      <c r="F7" s="10" t="s">
        <v>175</v>
      </c>
      <c r="G7" s="10" t="s">
        <v>7</v>
      </c>
      <c r="H7" s="10" t="s">
        <v>131</v>
      </c>
      <c r="I7" s="10" t="s">
        <v>21</v>
      </c>
      <c r="J7" s="9"/>
      <c r="K7" s="10"/>
      <c r="L7" s="10">
        <v>54000</v>
      </c>
      <c r="M7" s="10"/>
      <c r="N7" s="10" t="s">
        <v>175</v>
      </c>
      <c r="O7" s="10" t="s">
        <v>7</v>
      </c>
      <c r="P7" s="10" t="s">
        <v>131</v>
      </c>
      <c r="Q7" s="10" t="s">
        <v>21</v>
      </c>
      <c r="R7" s="10">
        <f t="shared" si="1"/>
        <v>54000</v>
      </c>
      <c r="S7" s="9">
        <v>4000</v>
      </c>
      <c r="T7" s="10"/>
      <c r="U7" s="41">
        <f t="shared" si="2"/>
        <v>7.407407407407407E-2</v>
      </c>
      <c r="V7" s="10">
        <f t="shared" si="3"/>
        <v>58000</v>
      </c>
      <c r="W7" s="28"/>
      <c r="X7" s="31" t="s">
        <v>175</v>
      </c>
      <c r="Y7" s="31" t="s">
        <v>7</v>
      </c>
      <c r="Z7" s="31" t="s">
        <v>131</v>
      </c>
      <c r="AA7" s="32" t="s">
        <v>21</v>
      </c>
      <c r="AB7" s="34">
        <f>AF7-AC7</f>
        <v>58000</v>
      </c>
      <c r="AC7" s="33">
        <v>10000</v>
      </c>
      <c r="AE7" s="40">
        <f t="shared" si="4"/>
        <v>0.17241379310344829</v>
      </c>
      <c r="AF7" s="31">
        <f t="shared" si="0"/>
        <v>68000</v>
      </c>
    </row>
    <row r="8" spans="1:33" x14ac:dyDescent="0.25">
      <c r="A8" s="16"/>
      <c r="B8" s="8">
        <v>10132009</v>
      </c>
      <c r="C8" s="8" t="s">
        <v>42</v>
      </c>
      <c r="D8" s="8"/>
      <c r="E8" s="9">
        <v>4000</v>
      </c>
      <c r="F8" s="10" t="s">
        <v>175</v>
      </c>
      <c r="G8" s="10" t="s">
        <v>7</v>
      </c>
      <c r="H8" s="10" t="s">
        <v>131</v>
      </c>
      <c r="I8" s="10" t="s">
        <v>21</v>
      </c>
      <c r="J8" s="9">
        <v>5000</v>
      </c>
      <c r="K8" s="10"/>
      <c r="L8" s="10">
        <v>45000</v>
      </c>
      <c r="M8" s="10"/>
      <c r="N8" s="10" t="s">
        <v>175</v>
      </c>
      <c r="O8" s="10" t="s">
        <v>7</v>
      </c>
      <c r="P8" s="10" t="s">
        <v>131</v>
      </c>
      <c r="Q8" s="10" t="s">
        <v>21</v>
      </c>
      <c r="R8" s="10">
        <f t="shared" si="1"/>
        <v>45000</v>
      </c>
      <c r="S8" s="9">
        <v>5000</v>
      </c>
      <c r="T8" s="10"/>
      <c r="U8" s="41">
        <f t="shared" si="2"/>
        <v>0.1111111111111111</v>
      </c>
      <c r="V8" s="10">
        <f t="shared" si="3"/>
        <v>50000</v>
      </c>
      <c r="W8" s="28"/>
      <c r="X8" s="31" t="s">
        <v>175</v>
      </c>
      <c r="Y8" s="31" t="s">
        <v>7</v>
      </c>
      <c r="Z8" s="31" t="s">
        <v>131</v>
      </c>
      <c r="AA8" s="32" t="s">
        <v>21</v>
      </c>
      <c r="AB8" s="34">
        <f>AF8-AC8</f>
        <v>50000</v>
      </c>
      <c r="AC8" s="33">
        <v>10000</v>
      </c>
      <c r="AE8" s="40">
        <f t="shared" si="4"/>
        <v>0.2</v>
      </c>
      <c r="AF8" s="31">
        <f t="shared" si="0"/>
        <v>60000</v>
      </c>
    </row>
    <row r="9" spans="1:33" x14ac:dyDescent="0.25">
      <c r="A9" s="16"/>
      <c r="B9" s="8">
        <v>20092008</v>
      </c>
      <c r="C9" s="8" t="s">
        <v>128</v>
      </c>
      <c r="D9" s="8"/>
      <c r="E9" s="9">
        <v>7000</v>
      </c>
      <c r="F9" s="10" t="s">
        <v>175</v>
      </c>
      <c r="G9" s="10" t="s">
        <v>7</v>
      </c>
      <c r="H9" s="10" t="s">
        <v>131</v>
      </c>
      <c r="I9" s="10" t="s">
        <v>21</v>
      </c>
      <c r="J9" s="9">
        <v>7000</v>
      </c>
      <c r="K9" s="10"/>
      <c r="L9" s="10">
        <v>62000</v>
      </c>
      <c r="M9" s="10"/>
      <c r="N9" s="10" t="s">
        <v>174</v>
      </c>
      <c r="O9" s="10"/>
      <c r="P9" s="10"/>
      <c r="Q9" s="10"/>
      <c r="R9" s="10">
        <f t="shared" si="1"/>
        <v>62000</v>
      </c>
      <c r="S9" s="9"/>
      <c r="T9" s="10"/>
      <c r="U9" s="41"/>
      <c r="V9" s="10">
        <f t="shared" si="3"/>
        <v>62000</v>
      </c>
      <c r="W9" s="28"/>
      <c r="X9" s="31" t="s">
        <v>174</v>
      </c>
      <c r="AB9" s="34"/>
      <c r="AF9" s="31">
        <f t="shared" si="0"/>
        <v>62000</v>
      </c>
    </row>
    <row r="10" spans="1:33" x14ac:dyDescent="0.25">
      <c r="A10" s="16"/>
      <c r="B10" s="8">
        <v>10582007</v>
      </c>
      <c r="C10" s="8" t="s">
        <v>129</v>
      </c>
      <c r="D10" s="8"/>
      <c r="E10" s="9">
        <v>2000</v>
      </c>
      <c r="F10" s="10" t="s">
        <v>175</v>
      </c>
      <c r="G10" s="10" t="s">
        <v>7</v>
      </c>
      <c r="H10" s="10" t="s">
        <v>131</v>
      </c>
      <c r="I10" s="10" t="s">
        <v>21</v>
      </c>
      <c r="J10" s="9">
        <v>3000</v>
      </c>
      <c r="K10" s="10"/>
      <c r="L10" s="10">
        <v>35000</v>
      </c>
      <c r="M10" s="10"/>
      <c r="N10" s="10" t="s">
        <v>175</v>
      </c>
      <c r="O10" s="10" t="s">
        <v>7</v>
      </c>
      <c r="P10" s="10" t="s">
        <v>131</v>
      </c>
      <c r="Q10" s="10" t="s">
        <v>9</v>
      </c>
      <c r="R10" s="10">
        <f t="shared" si="1"/>
        <v>35000</v>
      </c>
      <c r="S10" s="9">
        <v>0</v>
      </c>
      <c r="T10" s="10"/>
      <c r="U10" s="41">
        <f t="shared" si="2"/>
        <v>0</v>
      </c>
      <c r="V10" s="10">
        <f t="shared" si="3"/>
        <v>35000</v>
      </c>
      <c r="W10" s="28"/>
      <c r="X10" s="31" t="s">
        <v>174</v>
      </c>
      <c r="AB10" s="34"/>
      <c r="AF10" s="31">
        <f t="shared" si="0"/>
        <v>35000</v>
      </c>
    </row>
    <row r="11" spans="1:33" x14ac:dyDescent="0.25">
      <c r="A11" s="17"/>
      <c r="B11" s="12">
        <v>10782016</v>
      </c>
      <c r="C11" s="12" t="s">
        <v>43</v>
      </c>
      <c r="D11" s="12"/>
      <c r="E11" s="13">
        <v>0</v>
      </c>
      <c r="F11" s="10" t="s">
        <v>175</v>
      </c>
      <c r="G11" s="14" t="s">
        <v>7</v>
      </c>
      <c r="H11" s="14" t="s">
        <v>36</v>
      </c>
      <c r="I11" s="14" t="s">
        <v>132</v>
      </c>
      <c r="J11" s="13">
        <v>0</v>
      </c>
      <c r="K11" s="14"/>
      <c r="L11" s="14">
        <v>180000</v>
      </c>
      <c r="M11" s="14"/>
      <c r="N11" s="14" t="s">
        <v>175</v>
      </c>
      <c r="O11" s="14" t="s">
        <v>7</v>
      </c>
      <c r="P11" s="14" t="s">
        <v>36</v>
      </c>
      <c r="Q11" s="14" t="s">
        <v>132</v>
      </c>
      <c r="R11" s="14">
        <f t="shared" si="1"/>
        <v>180000</v>
      </c>
      <c r="S11" s="13">
        <v>5000</v>
      </c>
      <c r="T11" s="14"/>
      <c r="U11" s="41">
        <f t="shared" si="2"/>
        <v>2.7777777777777776E-2</v>
      </c>
      <c r="V11" s="14">
        <f t="shared" si="3"/>
        <v>185000</v>
      </c>
      <c r="W11" s="29"/>
      <c r="X11" s="31" t="s">
        <v>175</v>
      </c>
      <c r="Y11" s="31" t="s">
        <v>7</v>
      </c>
      <c r="Z11" s="31" t="s">
        <v>36</v>
      </c>
      <c r="AA11" s="32" t="s">
        <v>132</v>
      </c>
      <c r="AB11" s="34">
        <f t="shared" ref="AB11:AB42" si="5">AF11-AC11</f>
        <v>185000</v>
      </c>
      <c r="AC11" s="33">
        <v>15000</v>
      </c>
      <c r="AE11" s="40">
        <f t="shared" si="4"/>
        <v>8.1081081081081086E-2</v>
      </c>
      <c r="AF11" s="31">
        <f t="shared" si="0"/>
        <v>200000</v>
      </c>
    </row>
    <row r="12" spans="1:33" x14ac:dyDescent="0.25">
      <c r="A12" s="17"/>
      <c r="B12" s="12">
        <v>21152017</v>
      </c>
      <c r="C12" s="12" t="s">
        <v>44</v>
      </c>
      <c r="D12" s="12"/>
      <c r="E12" s="13">
        <v>0</v>
      </c>
      <c r="F12" s="10" t="s">
        <v>175</v>
      </c>
      <c r="G12" s="14" t="s">
        <v>7</v>
      </c>
      <c r="H12" s="14" t="s">
        <v>36</v>
      </c>
      <c r="I12" s="14" t="s">
        <v>130</v>
      </c>
      <c r="J12" s="13">
        <v>5000</v>
      </c>
      <c r="K12" s="14"/>
      <c r="L12" s="14">
        <v>105000</v>
      </c>
      <c r="M12" s="14"/>
      <c r="N12" s="14" t="s">
        <v>175</v>
      </c>
      <c r="O12" s="14" t="s">
        <v>7</v>
      </c>
      <c r="P12" s="14" t="s">
        <v>36</v>
      </c>
      <c r="Q12" s="14" t="s">
        <v>130</v>
      </c>
      <c r="R12" s="14">
        <f t="shared" si="1"/>
        <v>105000</v>
      </c>
      <c r="S12" s="13">
        <v>5000</v>
      </c>
      <c r="T12" s="14"/>
      <c r="U12" s="41">
        <f t="shared" si="2"/>
        <v>4.7619047619047616E-2</v>
      </c>
      <c r="V12" s="14">
        <f t="shared" si="3"/>
        <v>110000</v>
      </c>
      <c r="W12" s="29"/>
      <c r="X12" s="31" t="s">
        <v>175</v>
      </c>
      <c r="Y12" s="31" t="s">
        <v>7</v>
      </c>
      <c r="Z12" s="31" t="s">
        <v>36</v>
      </c>
      <c r="AA12" s="32" t="s">
        <v>130</v>
      </c>
      <c r="AB12" s="34">
        <f t="shared" si="5"/>
        <v>110000</v>
      </c>
      <c r="AC12" s="33">
        <v>15000</v>
      </c>
      <c r="AE12" s="40">
        <f t="shared" si="4"/>
        <v>0.13636363636363635</v>
      </c>
      <c r="AF12" s="31">
        <f t="shared" si="0"/>
        <v>125000</v>
      </c>
    </row>
    <row r="13" spans="1:33" x14ac:dyDescent="0.25">
      <c r="A13" s="17"/>
      <c r="B13" s="12">
        <v>20332017</v>
      </c>
      <c r="C13" s="12" t="s">
        <v>45</v>
      </c>
      <c r="D13" s="12"/>
      <c r="E13" s="13">
        <v>0</v>
      </c>
      <c r="F13" s="10" t="s">
        <v>175</v>
      </c>
      <c r="G13" s="14" t="s">
        <v>7</v>
      </c>
      <c r="H13" s="14" t="s">
        <v>36</v>
      </c>
      <c r="I13" s="14" t="s">
        <v>21</v>
      </c>
      <c r="J13" s="13">
        <v>7000</v>
      </c>
      <c r="K13" s="14"/>
      <c r="L13" s="14">
        <v>67000</v>
      </c>
      <c r="M13" s="14"/>
      <c r="N13" s="14" t="s">
        <v>175</v>
      </c>
      <c r="O13" s="14" t="s">
        <v>7</v>
      </c>
      <c r="P13" s="14" t="s">
        <v>36</v>
      </c>
      <c r="Q13" s="14" t="s">
        <v>21</v>
      </c>
      <c r="R13" s="14">
        <f t="shared" si="1"/>
        <v>67000</v>
      </c>
      <c r="S13" s="13">
        <v>3000</v>
      </c>
      <c r="T13" s="14"/>
      <c r="U13" s="41">
        <f t="shared" si="2"/>
        <v>4.4776119402985072E-2</v>
      </c>
      <c r="V13" s="14">
        <f t="shared" si="3"/>
        <v>70000</v>
      </c>
      <c r="W13" s="29"/>
      <c r="X13" s="31" t="s">
        <v>175</v>
      </c>
      <c r="Y13" s="31" t="s">
        <v>201</v>
      </c>
      <c r="Z13" s="31" t="s">
        <v>36</v>
      </c>
      <c r="AA13" s="32" t="s">
        <v>21</v>
      </c>
      <c r="AB13" s="34">
        <f t="shared" si="5"/>
        <v>70000</v>
      </c>
      <c r="AC13" s="33">
        <v>10000</v>
      </c>
      <c r="AE13" s="40">
        <f t="shared" si="4"/>
        <v>0.14285714285714285</v>
      </c>
      <c r="AF13" s="31">
        <f>V13+AC13</f>
        <v>80000</v>
      </c>
    </row>
    <row r="14" spans="1:33" x14ac:dyDescent="0.25">
      <c r="A14" s="17"/>
      <c r="B14" s="12">
        <v>20342009</v>
      </c>
      <c r="C14" s="12" t="s">
        <v>46</v>
      </c>
      <c r="D14" s="12"/>
      <c r="E14" s="13">
        <v>4000</v>
      </c>
      <c r="F14" s="10" t="s">
        <v>175</v>
      </c>
      <c r="G14" s="14" t="s">
        <v>7</v>
      </c>
      <c r="H14" s="14" t="s">
        <v>36</v>
      </c>
      <c r="I14" s="14" t="s">
        <v>3</v>
      </c>
      <c r="J14" s="13">
        <v>3000</v>
      </c>
      <c r="K14" s="14" t="s">
        <v>4</v>
      </c>
      <c r="L14" s="14">
        <v>47000</v>
      </c>
      <c r="M14" s="14"/>
      <c r="N14" s="14" t="s">
        <v>175</v>
      </c>
      <c r="O14" s="14" t="s">
        <v>7</v>
      </c>
      <c r="P14" s="14" t="s">
        <v>36</v>
      </c>
      <c r="Q14" s="14" t="s">
        <v>176</v>
      </c>
      <c r="R14" s="14">
        <f t="shared" si="1"/>
        <v>47000</v>
      </c>
      <c r="S14" s="13">
        <v>3000</v>
      </c>
      <c r="T14" s="14"/>
      <c r="U14" s="41">
        <f t="shared" si="2"/>
        <v>6.3829787234042548E-2</v>
      </c>
      <c r="V14" s="14">
        <f t="shared" si="3"/>
        <v>50000</v>
      </c>
      <c r="W14" s="29"/>
      <c r="X14" s="31" t="s">
        <v>175</v>
      </c>
      <c r="Y14" s="31" t="s">
        <v>7</v>
      </c>
      <c r="Z14" s="31" t="s">
        <v>36</v>
      </c>
      <c r="AA14" s="32" t="s">
        <v>4</v>
      </c>
      <c r="AB14" s="34">
        <f t="shared" si="5"/>
        <v>50000</v>
      </c>
      <c r="AC14" s="33">
        <v>5000</v>
      </c>
      <c r="AE14" s="40">
        <f t="shared" si="4"/>
        <v>0.1</v>
      </c>
      <c r="AF14" s="31">
        <f>V14+AC14</f>
        <v>55000</v>
      </c>
    </row>
    <row r="15" spans="1:33" x14ac:dyDescent="0.25">
      <c r="A15" s="17"/>
      <c r="B15" s="12">
        <v>10752016</v>
      </c>
      <c r="C15" s="12" t="s">
        <v>47</v>
      </c>
      <c r="D15" s="12"/>
      <c r="E15" s="13">
        <v>0</v>
      </c>
      <c r="F15" s="10" t="s">
        <v>175</v>
      </c>
      <c r="G15" s="14" t="s">
        <v>7</v>
      </c>
      <c r="H15" s="14" t="s">
        <v>36</v>
      </c>
      <c r="I15" s="14" t="s">
        <v>5</v>
      </c>
      <c r="J15" s="13">
        <v>7000</v>
      </c>
      <c r="K15" s="14" t="s">
        <v>3</v>
      </c>
      <c r="L15" s="14">
        <v>35000</v>
      </c>
      <c r="M15" s="14"/>
      <c r="N15" s="14" t="s">
        <v>175</v>
      </c>
      <c r="O15" s="14" t="s">
        <v>7</v>
      </c>
      <c r="P15" s="14" t="s">
        <v>36</v>
      </c>
      <c r="Q15" s="14" t="s">
        <v>3</v>
      </c>
      <c r="R15" s="14">
        <f t="shared" si="1"/>
        <v>35000</v>
      </c>
      <c r="S15" s="13">
        <v>5000</v>
      </c>
      <c r="T15" s="14"/>
      <c r="U15" s="41">
        <f t="shared" si="2"/>
        <v>0.14285714285714285</v>
      </c>
      <c r="V15" s="14">
        <f t="shared" si="3"/>
        <v>40000</v>
      </c>
      <c r="W15" s="29"/>
      <c r="X15" s="31" t="s">
        <v>175</v>
      </c>
      <c r="Y15" s="31" t="s">
        <v>7</v>
      </c>
      <c r="Z15" s="31" t="s">
        <v>36</v>
      </c>
      <c r="AA15" s="32" t="s">
        <v>4</v>
      </c>
      <c r="AB15" s="34">
        <f t="shared" si="5"/>
        <v>40000</v>
      </c>
      <c r="AC15" s="33">
        <v>12000</v>
      </c>
      <c r="AE15" s="40">
        <f t="shared" si="4"/>
        <v>0.3</v>
      </c>
      <c r="AF15" s="31">
        <f>V15+AC15</f>
        <v>52000</v>
      </c>
    </row>
    <row r="16" spans="1:33" x14ac:dyDescent="0.25">
      <c r="A16" s="17"/>
      <c r="B16" s="12">
        <v>10732016</v>
      </c>
      <c r="C16" s="12" t="s">
        <v>48</v>
      </c>
      <c r="D16" s="12"/>
      <c r="E16" s="13">
        <v>0</v>
      </c>
      <c r="F16" s="10" t="s">
        <v>175</v>
      </c>
      <c r="G16" s="14" t="s">
        <v>7</v>
      </c>
      <c r="H16" s="14" t="s">
        <v>36</v>
      </c>
      <c r="I16" s="14" t="s">
        <v>5</v>
      </c>
      <c r="J16" s="13">
        <v>7000</v>
      </c>
      <c r="K16" s="14" t="s">
        <v>3</v>
      </c>
      <c r="L16" s="14">
        <v>33000</v>
      </c>
      <c r="M16" s="14"/>
      <c r="N16" s="14" t="s">
        <v>175</v>
      </c>
      <c r="O16" s="14" t="s">
        <v>7</v>
      </c>
      <c r="P16" s="14" t="s">
        <v>36</v>
      </c>
      <c r="Q16" s="14" t="s">
        <v>3</v>
      </c>
      <c r="R16" s="14">
        <f t="shared" si="1"/>
        <v>33000</v>
      </c>
      <c r="S16" s="13">
        <v>5000</v>
      </c>
      <c r="T16" s="14"/>
      <c r="U16" s="41">
        <f t="shared" si="2"/>
        <v>0.15151515151515152</v>
      </c>
      <c r="V16" s="14">
        <f t="shared" si="3"/>
        <v>38000</v>
      </c>
      <c r="W16" s="29"/>
      <c r="X16" s="31" t="s">
        <v>175</v>
      </c>
      <c r="Y16" s="31" t="s">
        <v>7</v>
      </c>
      <c r="Z16" s="31" t="s">
        <v>36</v>
      </c>
      <c r="AA16" s="32" t="s">
        <v>4</v>
      </c>
      <c r="AB16" s="34">
        <f t="shared" si="5"/>
        <v>38000</v>
      </c>
      <c r="AC16" s="33">
        <v>12000</v>
      </c>
      <c r="AE16" s="40">
        <f t="shared" si="4"/>
        <v>0.31578947368421051</v>
      </c>
      <c r="AF16" s="31">
        <f>V16+AC16</f>
        <v>50000</v>
      </c>
    </row>
    <row r="17" spans="1:32" x14ac:dyDescent="0.25">
      <c r="A17" s="17"/>
      <c r="B17" s="12">
        <v>20302005</v>
      </c>
      <c r="C17" s="12" t="s">
        <v>49</v>
      </c>
      <c r="D17" s="12"/>
      <c r="E17" s="13">
        <v>1000</v>
      </c>
      <c r="F17" s="10" t="s">
        <v>175</v>
      </c>
      <c r="G17" s="14" t="s">
        <v>7</v>
      </c>
      <c r="H17" s="14" t="s">
        <v>36</v>
      </c>
      <c r="I17" s="14" t="s">
        <v>3</v>
      </c>
      <c r="J17" s="13">
        <v>2000</v>
      </c>
      <c r="K17" s="14"/>
      <c r="L17" s="14">
        <v>46000</v>
      </c>
      <c r="M17" s="14"/>
      <c r="N17" s="14" t="s">
        <v>175</v>
      </c>
      <c r="O17" s="14" t="s">
        <v>7</v>
      </c>
      <c r="P17" s="14" t="s">
        <v>36</v>
      </c>
      <c r="Q17" s="14" t="s">
        <v>3</v>
      </c>
      <c r="R17" s="14">
        <f t="shared" si="1"/>
        <v>46000</v>
      </c>
      <c r="S17" s="13">
        <v>4000</v>
      </c>
      <c r="T17" s="14"/>
      <c r="U17" s="41">
        <f t="shared" si="2"/>
        <v>8.6956521739130432E-2</v>
      </c>
      <c r="V17" s="14">
        <f t="shared" si="3"/>
        <v>50000</v>
      </c>
      <c r="W17" s="29"/>
      <c r="X17" s="31" t="s">
        <v>175</v>
      </c>
      <c r="Y17" s="31" t="s">
        <v>7</v>
      </c>
      <c r="Z17" s="31" t="s">
        <v>36</v>
      </c>
      <c r="AA17" s="32" t="s">
        <v>3</v>
      </c>
      <c r="AB17" s="34">
        <f t="shared" si="5"/>
        <v>50000</v>
      </c>
      <c r="AC17" s="33">
        <v>5000</v>
      </c>
      <c r="AE17" s="40">
        <f t="shared" si="4"/>
        <v>0.1</v>
      </c>
      <c r="AF17" s="31">
        <f>V17+AC17</f>
        <v>55000</v>
      </c>
    </row>
    <row r="18" spans="1:32" x14ac:dyDescent="0.25">
      <c r="A18" s="17"/>
      <c r="B18" s="12">
        <v>10392012</v>
      </c>
      <c r="C18" s="12" t="s">
        <v>50</v>
      </c>
      <c r="D18" s="12"/>
      <c r="E18" s="13">
        <v>1000</v>
      </c>
      <c r="F18" s="10" t="s">
        <v>175</v>
      </c>
      <c r="G18" s="14" t="s">
        <v>7</v>
      </c>
      <c r="H18" s="14" t="s">
        <v>36</v>
      </c>
      <c r="I18" s="14" t="s">
        <v>6</v>
      </c>
      <c r="J18" s="13">
        <v>3000</v>
      </c>
      <c r="K18" s="14" t="s">
        <v>5</v>
      </c>
      <c r="L18" s="14">
        <v>33000</v>
      </c>
      <c r="M18" s="14"/>
      <c r="N18" s="14" t="s">
        <v>175</v>
      </c>
      <c r="O18" s="14" t="s">
        <v>7</v>
      </c>
      <c r="P18" s="14" t="s">
        <v>36</v>
      </c>
      <c r="Q18" s="14" t="s">
        <v>5</v>
      </c>
      <c r="R18" s="14">
        <f t="shared" si="1"/>
        <v>33000</v>
      </c>
      <c r="S18" s="13">
        <v>5000</v>
      </c>
      <c r="T18" s="14"/>
      <c r="U18" s="41">
        <f t="shared" si="2"/>
        <v>0.15151515151515152</v>
      </c>
      <c r="V18" s="14">
        <f t="shared" si="3"/>
        <v>38000</v>
      </c>
      <c r="W18" s="29"/>
      <c r="X18" s="31" t="s">
        <v>175</v>
      </c>
      <c r="Y18" s="31" t="s">
        <v>7</v>
      </c>
      <c r="Z18" s="31" t="s">
        <v>36</v>
      </c>
      <c r="AA18" s="32" t="s">
        <v>5</v>
      </c>
      <c r="AB18" s="34">
        <f t="shared" si="5"/>
        <v>38000</v>
      </c>
      <c r="AC18" s="33">
        <v>4000</v>
      </c>
      <c r="AE18" s="40">
        <f t="shared" si="4"/>
        <v>0.10526315789473684</v>
      </c>
      <c r="AF18" s="31">
        <f t="shared" ref="AF18:AF21" si="6">V18+AC18</f>
        <v>42000</v>
      </c>
    </row>
    <row r="19" spans="1:32" x14ac:dyDescent="0.25">
      <c r="A19" s="17"/>
      <c r="B19" s="12">
        <v>10402012</v>
      </c>
      <c r="C19" s="12" t="s">
        <v>51</v>
      </c>
      <c r="D19" s="12"/>
      <c r="E19" s="13">
        <v>3000</v>
      </c>
      <c r="F19" s="10" t="s">
        <v>175</v>
      </c>
      <c r="G19" s="14" t="s">
        <v>7</v>
      </c>
      <c r="H19" s="14" t="s">
        <v>36</v>
      </c>
      <c r="I19" s="14" t="s">
        <v>35</v>
      </c>
      <c r="J19" s="13">
        <v>4000</v>
      </c>
      <c r="K19" s="14" t="s">
        <v>5</v>
      </c>
      <c r="L19" s="14">
        <v>36000</v>
      </c>
      <c r="M19" s="14"/>
      <c r="N19" s="14" t="s">
        <v>175</v>
      </c>
      <c r="O19" s="14" t="s">
        <v>7</v>
      </c>
      <c r="P19" s="14" t="s">
        <v>36</v>
      </c>
      <c r="Q19" s="14" t="s">
        <v>5</v>
      </c>
      <c r="R19" s="14">
        <f t="shared" si="1"/>
        <v>36000</v>
      </c>
      <c r="S19" s="13">
        <v>5000</v>
      </c>
      <c r="T19" s="14"/>
      <c r="U19" s="41">
        <f t="shared" si="2"/>
        <v>0.1388888888888889</v>
      </c>
      <c r="V19" s="14">
        <f t="shared" si="3"/>
        <v>41000</v>
      </c>
      <c r="W19" s="29"/>
      <c r="X19" s="31" t="s">
        <v>175</v>
      </c>
      <c r="Y19" s="31" t="s">
        <v>7</v>
      </c>
      <c r="Z19" s="31" t="s">
        <v>36</v>
      </c>
      <c r="AA19" s="32" t="s">
        <v>5</v>
      </c>
      <c r="AB19" s="34">
        <f t="shared" si="5"/>
        <v>41000</v>
      </c>
      <c r="AC19" s="33">
        <v>9000</v>
      </c>
      <c r="AE19" s="40">
        <f t="shared" si="4"/>
        <v>0.21951219512195122</v>
      </c>
      <c r="AF19" s="31">
        <f t="shared" si="6"/>
        <v>50000</v>
      </c>
    </row>
    <row r="20" spans="1:32" x14ac:dyDescent="0.25">
      <c r="A20" s="17"/>
      <c r="B20" s="12">
        <v>10722016</v>
      </c>
      <c r="C20" s="12" t="s">
        <v>52</v>
      </c>
      <c r="D20" s="12"/>
      <c r="E20" s="13">
        <v>3000</v>
      </c>
      <c r="F20" s="10" t="s">
        <v>175</v>
      </c>
      <c r="G20" s="14" t="s">
        <v>7</v>
      </c>
      <c r="H20" s="14" t="s">
        <v>36</v>
      </c>
      <c r="I20" s="14" t="s">
        <v>6</v>
      </c>
      <c r="J20" s="13">
        <v>3000</v>
      </c>
      <c r="K20" s="14"/>
      <c r="L20" s="14">
        <v>30000</v>
      </c>
      <c r="M20" s="14"/>
      <c r="N20" s="14" t="s">
        <v>175</v>
      </c>
      <c r="O20" s="14" t="s">
        <v>7</v>
      </c>
      <c r="P20" s="14" t="s">
        <v>36</v>
      </c>
      <c r="Q20" s="14" t="s">
        <v>6</v>
      </c>
      <c r="R20" s="14">
        <f t="shared" si="1"/>
        <v>30000</v>
      </c>
      <c r="S20" s="13">
        <v>3000</v>
      </c>
      <c r="T20" s="14"/>
      <c r="U20" s="41">
        <f t="shared" si="2"/>
        <v>0.1</v>
      </c>
      <c r="V20" s="14">
        <f t="shared" si="3"/>
        <v>33000</v>
      </c>
      <c r="W20" s="29"/>
      <c r="X20" s="31" t="s">
        <v>175</v>
      </c>
      <c r="Y20" s="31" t="s">
        <v>7</v>
      </c>
      <c r="Z20" s="31" t="s">
        <v>36</v>
      </c>
      <c r="AA20" s="32" t="s">
        <v>6</v>
      </c>
      <c r="AB20" s="34">
        <f t="shared" si="5"/>
        <v>33000</v>
      </c>
      <c r="AC20" s="33">
        <v>7000</v>
      </c>
      <c r="AE20" s="40">
        <f t="shared" si="4"/>
        <v>0.21212121212121213</v>
      </c>
      <c r="AF20" s="31">
        <f t="shared" si="6"/>
        <v>40000</v>
      </c>
    </row>
    <row r="21" spans="1:32" x14ac:dyDescent="0.25">
      <c r="A21" s="17"/>
      <c r="B21" s="12">
        <v>10692016</v>
      </c>
      <c r="C21" s="12" t="s">
        <v>53</v>
      </c>
      <c r="D21" s="12"/>
      <c r="E21" s="13">
        <v>5000</v>
      </c>
      <c r="F21" s="10" t="s">
        <v>175</v>
      </c>
      <c r="G21" s="14" t="s">
        <v>7</v>
      </c>
      <c r="H21" s="14" t="s">
        <v>36</v>
      </c>
      <c r="I21" s="14" t="s">
        <v>3</v>
      </c>
      <c r="J21" s="13">
        <v>6000</v>
      </c>
      <c r="K21" s="14"/>
      <c r="L21" s="14">
        <v>26000</v>
      </c>
      <c r="M21" s="14"/>
      <c r="N21" s="14" t="s">
        <v>175</v>
      </c>
      <c r="O21" s="14" t="s">
        <v>7</v>
      </c>
      <c r="P21" s="14" t="s">
        <v>36</v>
      </c>
      <c r="Q21" s="14" t="s">
        <v>3</v>
      </c>
      <c r="R21" s="14">
        <f t="shared" si="1"/>
        <v>26000</v>
      </c>
      <c r="S21" s="13">
        <v>6000</v>
      </c>
      <c r="T21" s="14"/>
      <c r="U21" s="41">
        <f t="shared" si="2"/>
        <v>0.23076923076923078</v>
      </c>
      <c r="V21" s="14">
        <f t="shared" si="3"/>
        <v>32000</v>
      </c>
      <c r="W21" s="29"/>
      <c r="X21" s="31" t="s">
        <v>175</v>
      </c>
      <c r="Y21" s="31" t="s">
        <v>7</v>
      </c>
      <c r="Z21" s="31" t="s">
        <v>36</v>
      </c>
      <c r="AA21" s="32" t="s">
        <v>3</v>
      </c>
      <c r="AB21" s="34">
        <f t="shared" si="5"/>
        <v>32000</v>
      </c>
      <c r="AC21" s="33">
        <v>8000</v>
      </c>
      <c r="AE21" s="40">
        <f t="shared" si="4"/>
        <v>0.25</v>
      </c>
      <c r="AF21" s="31">
        <f t="shared" si="6"/>
        <v>40000</v>
      </c>
    </row>
    <row r="22" spans="1:32" x14ac:dyDescent="0.25">
      <c r="A22" s="17"/>
      <c r="B22" s="12">
        <v>20932017</v>
      </c>
      <c r="C22" s="12" t="s">
        <v>54</v>
      </c>
      <c r="D22" s="12"/>
      <c r="E22" s="13">
        <v>0</v>
      </c>
      <c r="F22" s="10" t="s">
        <v>175</v>
      </c>
      <c r="G22" s="14" t="s">
        <v>7</v>
      </c>
      <c r="H22" s="14" t="s">
        <v>36</v>
      </c>
      <c r="I22" s="14" t="s">
        <v>3</v>
      </c>
      <c r="J22" s="13">
        <v>5000</v>
      </c>
      <c r="K22" s="14"/>
      <c r="L22" s="14">
        <v>25000</v>
      </c>
      <c r="M22" s="14" t="s">
        <v>177</v>
      </c>
      <c r="N22" s="14" t="s">
        <v>175</v>
      </c>
      <c r="O22" s="14" t="s">
        <v>7</v>
      </c>
      <c r="P22" s="14" t="s">
        <v>36</v>
      </c>
      <c r="Q22" s="14" t="s">
        <v>3</v>
      </c>
      <c r="R22" s="14">
        <f t="shared" si="1"/>
        <v>25000</v>
      </c>
      <c r="S22" s="13">
        <v>5000</v>
      </c>
      <c r="T22" s="14"/>
      <c r="U22" s="41">
        <f t="shared" si="2"/>
        <v>0.2</v>
      </c>
      <c r="V22" s="14">
        <f t="shared" si="3"/>
        <v>30000</v>
      </c>
      <c r="W22" s="29"/>
      <c r="X22" s="31" t="s">
        <v>175</v>
      </c>
      <c r="Y22" s="31" t="s">
        <v>7</v>
      </c>
      <c r="Z22" s="31" t="s">
        <v>36</v>
      </c>
      <c r="AA22" s="32" t="s">
        <v>3</v>
      </c>
      <c r="AB22" s="34">
        <f t="shared" si="5"/>
        <v>30000</v>
      </c>
      <c r="AC22" s="33">
        <v>7000</v>
      </c>
      <c r="AE22" s="40">
        <f t="shared" si="4"/>
        <v>0.23333333333333334</v>
      </c>
      <c r="AF22" s="31">
        <f>V22+AC22</f>
        <v>37000</v>
      </c>
    </row>
    <row r="23" spans="1:32" x14ac:dyDescent="0.25">
      <c r="A23" s="17"/>
      <c r="B23" s="12">
        <v>20992017</v>
      </c>
      <c r="C23" s="12" t="s">
        <v>133</v>
      </c>
      <c r="D23" s="12"/>
      <c r="E23" s="13">
        <v>8000</v>
      </c>
      <c r="F23" s="10" t="s">
        <v>175</v>
      </c>
      <c r="G23" s="14" t="s">
        <v>7</v>
      </c>
      <c r="H23" s="14" t="s">
        <v>36</v>
      </c>
      <c r="I23" s="14" t="s">
        <v>8</v>
      </c>
      <c r="J23" s="13">
        <v>3000</v>
      </c>
      <c r="K23" s="14" t="s">
        <v>6</v>
      </c>
      <c r="L23" s="14">
        <v>23000</v>
      </c>
      <c r="M23" s="14"/>
      <c r="N23" s="14" t="s">
        <v>174</v>
      </c>
      <c r="O23" s="14"/>
      <c r="P23" s="14"/>
      <c r="Q23" s="14"/>
      <c r="R23" s="14"/>
      <c r="S23" s="13"/>
      <c r="T23" s="14"/>
      <c r="U23" s="41"/>
      <c r="V23" s="14">
        <f t="shared" si="3"/>
        <v>23000</v>
      </c>
      <c r="W23" s="29" t="s">
        <v>182</v>
      </c>
      <c r="X23" s="31" t="s">
        <v>174</v>
      </c>
      <c r="AB23" s="34">
        <f t="shared" si="5"/>
        <v>0</v>
      </c>
    </row>
    <row r="24" spans="1:32" x14ac:dyDescent="0.25">
      <c r="A24" s="17"/>
      <c r="B24" s="12">
        <v>21212018</v>
      </c>
      <c r="C24" s="12" t="s">
        <v>55</v>
      </c>
      <c r="D24" s="12"/>
      <c r="E24" s="13">
        <v>0</v>
      </c>
      <c r="F24" s="10" t="s">
        <v>175</v>
      </c>
      <c r="G24" s="14" t="s">
        <v>7</v>
      </c>
      <c r="H24" s="14" t="s">
        <v>36</v>
      </c>
      <c r="I24" s="14" t="s">
        <v>8</v>
      </c>
      <c r="J24" s="13">
        <v>2000</v>
      </c>
      <c r="K24" s="14"/>
      <c r="L24" s="14">
        <v>20000</v>
      </c>
      <c r="M24" s="14" t="s">
        <v>178</v>
      </c>
      <c r="N24" s="14" t="s">
        <v>175</v>
      </c>
      <c r="O24" s="14" t="s">
        <v>7</v>
      </c>
      <c r="P24" s="14" t="s">
        <v>36</v>
      </c>
      <c r="Q24" s="14" t="s">
        <v>5</v>
      </c>
      <c r="R24" s="14">
        <f t="shared" si="1"/>
        <v>20000</v>
      </c>
      <c r="S24" s="13">
        <v>3000</v>
      </c>
      <c r="T24" s="14"/>
      <c r="U24" s="41">
        <f t="shared" si="2"/>
        <v>0.15</v>
      </c>
      <c r="V24" s="14">
        <f t="shared" si="3"/>
        <v>23000</v>
      </c>
      <c r="W24" s="29"/>
      <c r="X24" s="31" t="s">
        <v>175</v>
      </c>
      <c r="Y24" s="31" t="s">
        <v>7</v>
      </c>
      <c r="Z24" s="31" t="s">
        <v>36</v>
      </c>
      <c r="AA24" s="32" t="s">
        <v>5</v>
      </c>
      <c r="AB24" s="34">
        <f t="shared" si="5"/>
        <v>23000</v>
      </c>
      <c r="AC24" s="33">
        <v>7000</v>
      </c>
      <c r="AE24" s="40">
        <f t="shared" si="4"/>
        <v>0.30434782608695654</v>
      </c>
      <c r="AF24" s="31">
        <f t="shared" ref="AF24:AF29" si="7">V24+AC24</f>
        <v>30000</v>
      </c>
    </row>
    <row r="25" spans="1:32" x14ac:dyDescent="0.25">
      <c r="A25" s="17"/>
      <c r="B25" s="12">
        <v>21322018</v>
      </c>
      <c r="C25" s="12" t="s">
        <v>179</v>
      </c>
      <c r="D25" s="12"/>
      <c r="E25" s="13"/>
      <c r="F25" s="14" t="s">
        <v>175</v>
      </c>
      <c r="G25" s="14" t="s">
        <v>7</v>
      </c>
      <c r="H25" s="14" t="s">
        <v>36</v>
      </c>
      <c r="I25" s="14" t="s">
        <v>5</v>
      </c>
      <c r="J25" s="13">
        <v>2000</v>
      </c>
      <c r="K25" s="14" t="s">
        <v>180</v>
      </c>
      <c r="L25" s="14">
        <v>18000</v>
      </c>
      <c r="M25" s="14" t="s">
        <v>178</v>
      </c>
      <c r="N25" s="14" t="s">
        <v>175</v>
      </c>
      <c r="O25" s="14" t="s">
        <v>7</v>
      </c>
      <c r="P25" s="14" t="s">
        <v>36</v>
      </c>
      <c r="Q25" s="14" t="s">
        <v>5</v>
      </c>
      <c r="R25" s="14">
        <f t="shared" si="1"/>
        <v>18000</v>
      </c>
      <c r="S25" s="13">
        <v>5000</v>
      </c>
      <c r="T25" s="14"/>
      <c r="U25" s="41">
        <f t="shared" si="2"/>
        <v>0.27777777777777779</v>
      </c>
      <c r="V25" s="14">
        <f t="shared" si="3"/>
        <v>23000</v>
      </c>
      <c r="W25" s="29"/>
      <c r="X25" s="31" t="s">
        <v>175</v>
      </c>
      <c r="Y25" s="31" t="s">
        <v>7</v>
      </c>
      <c r="Z25" s="31" t="s">
        <v>36</v>
      </c>
      <c r="AA25" s="32" t="s">
        <v>5</v>
      </c>
      <c r="AB25" s="34">
        <f t="shared" si="5"/>
        <v>23000</v>
      </c>
      <c r="AC25" s="33">
        <v>7000</v>
      </c>
      <c r="AE25" s="40">
        <f t="shared" si="4"/>
        <v>0.30434782608695654</v>
      </c>
      <c r="AF25" s="31">
        <f t="shared" si="7"/>
        <v>30000</v>
      </c>
    </row>
    <row r="26" spans="1:32" x14ac:dyDescent="0.25">
      <c r="A26" s="21"/>
      <c r="B26" s="21">
        <v>11012018</v>
      </c>
      <c r="C26" s="21" t="s">
        <v>56</v>
      </c>
      <c r="D26" s="21"/>
      <c r="E26" s="22">
        <v>0</v>
      </c>
      <c r="F26" s="14" t="s">
        <v>175</v>
      </c>
      <c r="G26" s="5" t="s">
        <v>7</v>
      </c>
      <c r="H26" s="5" t="s">
        <v>37</v>
      </c>
      <c r="I26" s="5" t="s">
        <v>136</v>
      </c>
      <c r="J26" s="7">
        <v>0</v>
      </c>
      <c r="K26" s="5"/>
      <c r="L26" s="5">
        <v>150000</v>
      </c>
      <c r="M26" s="5"/>
      <c r="N26" s="5" t="s">
        <v>175</v>
      </c>
      <c r="O26" s="6" t="s">
        <v>7</v>
      </c>
      <c r="P26" s="6" t="s">
        <v>37</v>
      </c>
      <c r="Q26" s="6" t="s">
        <v>136</v>
      </c>
      <c r="R26" s="6">
        <f t="shared" si="1"/>
        <v>150000</v>
      </c>
      <c r="S26" s="11">
        <v>5000</v>
      </c>
      <c r="T26" s="6"/>
      <c r="U26" s="41">
        <f t="shared" si="2"/>
        <v>3.3333333333333333E-2</v>
      </c>
      <c r="V26" s="10">
        <f t="shared" si="3"/>
        <v>155000</v>
      </c>
      <c r="W26" s="30"/>
      <c r="X26" s="31" t="s">
        <v>175</v>
      </c>
      <c r="Y26" s="31" t="s">
        <v>7</v>
      </c>
      <c r="Z26" s="31" t="s">
        <v>37</v>
      </c>
      <c r="AA26" s="32" t="s">
        <v>136</v>
      </c>
      <c r="AB26" s="34">
        <f t="shared" si="5"/>
        <v>155000</v>
      </c>
      <c r="AC26" s="33">
        <v>15000</v>
      </c>
      <c r="AE26" s="40">
        <f t="shared" si="4"/>
        <v>9.6774193548387094E-2</v>
      </c>
      <c r="AF26" s="31">
        <f t="shared" si="7"/>
        <v>170000</v>
      </c>
    </row>
    <row r="27" spans="1:32" x14ac:dyDescent="0.25">
      <c r="A27" s="21"/>
      <c r="B27" s="21">
        <v>20282010</v>
      </c>
      <c r="C27" s="21" t="s">
        <v>57</v>
      </c>
      <c r="D27" s="21"/>
      <c r="E27" s="22">
        <v>0</v>
      </c>
      <c r="F27" s="14" t="s">
        <v>175</v>
      </c>
      <c r="G27" s="5" t="s">
        <v>7</v>
      </c>
      <c r="H27" s="5" t="s">
        <v>37</v>
      </c>
      <c r="I27" s="5" t="s">
        <v>4</v>
      </c>
      <c r="J27" s="7">
        <v>5000</v>
      </c>
      <c r="K27" s="5"/>
      <c r="L27" s="5">
        <v>61000</v>
      </c>
      <c r="M27" s="5"/>
      <c r="N27" s="5" t="s">
        <v>175</v>
      </c>
      <c r="O27" s="6" t="s">
        <v>7</v>
      </c>
      <c r="P27" s="6" t="s">
        <v>37</v>
      </c>
      <c r="Q27" s="6" t="s">
        <v>4</v>
      </c>
      <c r="R27" s="6">
        <f t="shared" si="1"/>
        <v>61000</v>
      </c>
      <c r="S27" s="11">
        <v>5000</v>
      </c>
      <c r="T27" s="6"/>
      <c r="U27" s="41">
        <f t="shared" si="2"/>
        <v>8.1967213114754092E-2</v>
      </c>
      <c r="V27" s="10">
        <f t="shared" si="3"/>
        <v>66000</v>
      </c>
      <c r="W27" s="30"/>
      <c r="X27" s="31" t="s">
        <v>175</v>
      </c>
      <c r="Y27" s="31" t="s">
        <v>7</v>
      </c>
      <c r="Z27" s="31" t="s">
        <v>37</v>
      </c>
      <c r="AA27" s="32" t="s">
        <v>4</v>
      </c>
      <c r="AB27" s="34">
        <f t="shared" si="5"/>
        <v>66000</v>
      </c>
      <c r="AC27" s="33">
        <v>12000</v>
      </c>
      <c r="AE27" s="40">
        <f t="shared" si="4"/>
        <v>0.18181818181818182</v>
      </c>
      <c r="AF27" s="31">
        <f t="shared" si="7"/>
        <v>78000</v>
      </c>
    </row>
    <row r="28" spans="1:32" x14ac:dyDescent="0.25">
      <c r="A28" s="21"/>
      <c r="B28" s="21">
        <v>21132017</v>
      </c>
      <c r="C28" s="21" t="s">
        <v>58</v>
      </c>
      <c r="D28" s="21"/>
      <c r="E28" s="22">
        <v>0</v>
      </c>
      <c r="F28" s="14" t="s">
        <v>175</v>
      </c>
      <c r="G28" s="5" t="s">
        <v>7</v>
      </c>
      <c r="H28" s="5" t="s">
        <v>37</v>
      </c>
      <c r="I28" s="5" t="s">
        <v>4</v>
      </c>
      <c r="J28" s="7">
        <v>5000</v>
      </c>
      <c r="K28" s="5"/>
      <c r="L28" s="5">
        <v>45000</v>
      </c>
      <c r="M28" s="5"/>
      <c r="N28" s="5" t="s">
        <v>175</v>
      </c>
      <c r="O28" s="6" t="s">
        <v>7</v>
      </c>
      <c r="P28" s="6" t="s">
        <v>37</v>
      </c>
      <c r="Q28" s="6" t="s">
        <v>4</v>
      </c>
      <c r="R28" s="6">
        <f t="shared" si="1"/>
        <v>45000</v>
      </c>
      <c r="S28" s="11">
        <v>5000</v>
      </c>
      <c r="T28" s="6"/>
      <c r="U28" s="41">
        <f t="shared" si="2"/>
        <v>0.1111111111111111</v>
      </c>
      <c r="V28" s="10">
        <f t="shared" si="3"/>
        <v>50000</v>
      </c>
      <c r="W28" s="30"/>
      <c r="X28" s="31" t="s">
        <v>175</v>
      </c>
      <c r="Y28" s="31" t="s">
        <v>7</v>
      </c>
      <c r="Z28" s="31" t="s">
        <v>37</v>
      </c>
      <c r="AA28" s="32" t="s">
        <v>4</v>
      </c>
      <c r="AB28" s="34">
        <f t="shared" si="5"/>
        <v>50000</v>
      </c>
      <c r="AC28" s="33">
        <v>10000</v>
      </c>
      <c r="AE28" s="40">
        <f t="shared" si="4"/>
        <v>0.2</v>
      </c>
      <c r="AF28" s="31">
        <f t="shared" si="7"/>
        <v>60000</v>
      </c>
    </row>
    <row r="29" spans="1:32" x14ac:dyDescent="0.25">
      <c r="A29" s="21"/>
      <c r="B29" s="21">
        <v>30572016</v>
      </c>
      <c r="C29" s="21" t="s">
        <v>59</v>
      </c>
      <c r="D29" s="21"/>
      <c r="E29" s="22">
        <v>0</v>
      </c>
      <c r="F29" s="14" t="s">
        <v>175</v>
      </c>
      <c r="G29" s="5" t="s">
        <v>7</v>
      </c>
      <c r="H29" s="5" t="s">
        <v>37</v>
      </c>
      <c r="I29" s="5" t="s">
        <v>135</v>
      </c>
      <c r="J29" s="7">
        <v>4000</v>
      </c>
      <c r="K29" s="5"/>
      <c r="L29" s="5">
        <v>30000</v>
      </c>
      <c r="M29" s="5"/>
      <c r="N29" s="5" t="s">
        <v>175</v>
      </c>
      <c r="O29" s="6" t="s">
        <v>7</v>
      </c>
      <c r="P29" s="6" t="s">
        <v>37</v>
      </c>
      <c r="Q29" s="6" t="s">
        <v>4</v>
      </c>
      <c r="R29" s="6">
        <f t="shared" si="1"/>
        <v>30000</v>
      </c>
      <c r="S29" s="11">
        <v>4000</v>
      </c>
      <c r="T29" s="6"/>
      <c r="U29" s="41">
        <f t="shared" si="2"/>
        <v>0.13333333333333333</v>
      </c>
      <c r="V29" s="10">
        <f t="shared" si="3"/>
        <v>34000</v>
      </c>
      <c r="W29" s="30"/>
      <c r="X29" s="31" t="s">
        <v>175</v>
      </c>
      <c r="Y29" s="31" t="s">
        <v>7</v>
      </c>
      <c r="Z29" s="31" t="s">
        <v>37</v>
      </c>
      <c r="AA29" s="32" t="s">
        <v>4</v>
      </c>
      <c r="AB29" s="34">
        <f t="shared" si="5"/>
        <v>34000</v>
      </c>
      <c r="AC29" s="33">
        <v>10000</v>
      </c>
      <c r="AE29" s="40">
        <f t="shared" si="4"/>
        <v>0.29411764705882354</v>
      </c>
      <c r="AF29" s="31">
        <f t="shared" si="7"/>
        <v>44000</v>
      </c>
    </row>
    <row r="30" spans="1:32" x14ac:dyDescent="0.25">
      <c r="A30" s="21"/>
      <c r="B30" s="21">
        <v>20982017</v>
      </c>
      <c r="C30" s="21" t="s">
        <v>134</v>
      </c>
      <c r="D30" s="21"/>
      <c r="E30" s="22">
        <v>5000</v>
      </c>
      <c r="F30" s="14" t="s">
        <v>175</v>
      </c>
      <c r="G30" s="5" t="s">
        <v>7</v>
      </c>
      <c r="H30" s="5" t="s">
        <v>37</v>
      </c>
      <c r="I30" s="5" t="s">
        <v>3</v>
      </c>
      <c r="J30" s="7">
        <v>5000</v>
      </c>
      <c r="K30" s="5"/>
      <c r="L30" s="5">
        <v>40000</v>
      </c>
      <c r="M30" s="5"/>
      <c r="N30" s="5" t="s">
        <v>174</v>
      </c>
      <c r="O30" s="6" t="s">
        <v>174</v>
      </c>
      <c r="P30" s="6" t="s">
        <v>174</v>
      </c>
      <c r="Q30" s="6" t="s">
        <v>174</v>
      </c>
      <c r="R30" s="6">
        <f t="shared" si="1"/>
        <v>0</v>
      </c>
      <c r="S30" s="11">
        <v>0</v>
      </c>
      <c r="T30" s="6" t="s">
        <v>174</v>
      </c>
      <c r="U30" s="41"/>
      <c r="V30" s="10">
        <v>0</v>
      </c>
      <c r="W30" s="30"/>
      <c r="X30" s="31" t="s">
        <v>174</v>
      </c>
      <c r="AB30" s="34">
        <f t="shared" si="5"/>
        <v>0</v>
      </c>
      <c r="AF30" s="31">
        <f t="shared" ref="AF30:AF36" si="8">V30+AC30</f>
        <v>0</v>
      </c>
    </row>
    <row r="31" spans="1:32" x14ac:dyDescent="0.25">
      <c r="A31" s="21"/>
      <c r="B31" s="21">
        <v>10712016</v>
      </c>
      <c r="C31" s="21" t="s">
        <v>60</v>
      </c>
      <c r="D31" s="21"/>
      <c r="E31" s="22">
        <v>7000</v>
      </c>
      <c r="F31" s="14" t="s">
        <v>175</v>
      </c>
      <c r="G31" s="5" t="s">
        <v>7</v>
      </c>
      <c r="H31" s="5" t="s">
        <v>137</v>
      </c>
      <c r="I31" s="5" t="s">
        <v>3</v>
      </c>
      <c r="J31" s="7">
        <v>7000</v>
      </c>
      <c r="K31" s="5"/>
      <c r="L31" s="5">
        <v>42000</v>
      </c>
      <c r="M31" s="5"/>
      <c r="N31" s="5" t="s">
        <v>175</v>
      </c>
      <c r="O31" s="6" t="s">
        <v>7</v>
      </c>
      <c r="P31" s="6" t="s">
        <v>137</v>
      </c>
      <c r="Q31" s="6" t="s">
        <v>184</v>
      </c>
      <c r="R31" s="6">
        <f t="shared" si="1"/>
        <v>42000</v>
      </c>
      <c r="S31" s="11">
        <v>5000</v>
      </c>
      <c r="T31" s="6"/>
      <c r="U31" s="41">
        <f t="shared" si="2"/>
        <v>0.11904761904761904</v>
      </c>
      <c r="V31" s="10">
        <f t="shared" si="3"/>
        <v>47000</v>
      </c>
      <c r="W31" s="30"/>
      <c r="X31" s="31" t="s">
        <v>175</v>
      </c>
      <c r="Y31" s="31" t="s">
        <v>7</v>
      </c>
      <c r="Z31" s="31" t="s">
        <v>137</v>
      </c>
      <c r="AA31" s="32" t="s">
        <v>21</v>
      </c>
      <c r="AB31" s="34">
        <f t="shared" si="5"/>
        <v>47000</v>
      </c>
      <c r="AC31" s="33">
        <v>23000</v>
      </c>
      <c r="AE31" s="40">
        <f t="shared" si="4"/>
        <v>0.48936170212765956</v>
      </c>
      <c r="AF31" s="31">
        <f t="shared" si="8"/>
        <v>70000</v>
      </c>
    </row>
    <row r="32" spans="1:32" x14ac:dyDescent="0.25">
      <c r="A32" s="21"/>
      <c r="B32" s="21">
        <v>20352011</v>
      </c>
      <c r="C32" s="21" t="s">
        <v>61</v>
      </c>
      <c r="D32" s="21"/>
      <c r="E32" s="22">
        <v>1000</v>
      </c>
      <c r="F32" s="14" t="s">
        <v>175</v>
      </c>
      <c r="G32" s="5" t="s">
        <v>7</v>
      </c>
      <c r="H32" s="5" t="s">
        <v>137</v>
      </c>
      <c r="I32" s="5" t="s">
        <v>6</v>
      </c>
      <c r="J32" s="7">
        <v>3000</v>
      </c>
      <c r="K32" s="5"/>
      <c r="L32" s="5">
        <v>33000</v>
      </c>
      <c r="M32" s="5"/>
      <c r="N32" s="5" t="s">
        <v>175</v>
      </c>
      <c r="O32" s="6" t="s">
        <v>7</v>
      </c>
      <c r="P32" s="6" t="s">
        <v>137</v>
      </c>
      <c r="Q32" s="6" t="s">
        <v>4</v>
      </c>
      <c r="R32" s="6">
        <f t="shared" si="1"/>
        <v>33000</v>
      </c>
      <c r="S32" s="11">
        <v>3000</v>
      </c>
      <c r="T32" s="6"/>
      <c r="U32" s="41">
        <f t="shared" si="2"/>
        <v>9.0909090909090912E-2</v>
      </c>
      <c r="V32" s="10">
        <f t="shared" si="3"/>
        <v>36000</v>
      </c>
      <c r="W32" s="30"/>
      <c r="X32" s="31" t="s">
        <v>175</v>
      </c>
      <c r="Y32" s="31" t="s">
        <v>7</v>
      </c>
      <c r="Z32" s="31" t="s">
        <v>137</v>
      </c>
      <c r="AA32" s="32" t="s">
        <v>4</v>
      </c>
      <c r="AB32" s="34">
        <f t="shared" si="5"/>
        <v>36000</v>
      </c>
      <c r="AC32" s="33">
        <v>4000</v>
      </c>
      <c r="AE32" s="40">
        <f t="shared" si="4"/>
        <v>0.1111111111111111</v>
      </c>
      <c r="AF32" s="31">
        <f t="shared" si="8"/>
        <v>40000</v>
      </c>
    </row>
    <row r="33" spans="1:32" x14ac:dyDescent="0.25">
      <c r="A33" s="21"/>
      <c r="B33" s="21">
        <v>21232018</v>
      </c>
      <c r="C33" s="21" t="s">
        <v>62</v>
      </c>
      <c r="D33" s="21"/>
      <c r="E33" s="22">
        <v>0</v>
      </c>
      <c r="F33" s="14" t="s">
        <v>175</v>
      </c>
      <c r="G33" s="5" t="s">
        <v>7</v>
      </c>
      <c r="H33" s="5" t="s">
        <v>137</v>
      </c>
      <c r="I33" s="5" t="s">
        <v>8</v>
      </c>
      <c r="J33" s="7">
        <v>3000</v>
      </c>
      <c r="K33" s="5"/>
      <c r="L33" s="5">
        <v>20000</v>
      </c>
      <c r="M33" s="5"/>
      <c r="N33" s="5" t="s">
        <v>175</v>
      </c>
      <c r="O33" s="6" t="s">
        <v>7</v>
      </c>
      <c r="P33" s="6" t="s">
        <v>137</v>
      </c>
      <c r="Q33" s="6" t="s">
        <v>3</v>
      </c>
      <c r="R33" s="6">
        <f t="shared" si="1"/>
        <v>20000</v>
      </c>
      <c r="S33" s="11">
        <v>5000</v>
      </c>
      <c r="T33" s="6"/>
      <c r="U33" s="41">
        <f t="shared" si="2"/>
        <v>0.25</v>
      </c>
      <c r="V33" s="10">
        <f t="shared" si="3"/>
        <v>25000</v>
      </c>
      <c r="W33" s="30"/>
      <c r="X33" s="31" t="s">
        <v>175</v>
      </c>
      <c r="Y33" s="31" t="s">
        <v>7</v>
      </c>
      <c r="Z33" s="31" t="s">
        <v>137</v>
      </c>
      <c r="AA33" s="32" t="s">
        <v>3</v>
      </c>
      <c r="AB33" s="34">
        <f t="shared" si="5"/>
        <v>25000</v>
      </c>
      <c r="AC33" s="33">
        <v>5000</v>
      </c>
      <c r="AE33" s="40">
        <f t="shared" si="4"/>
        <v>0.2</v>
      </c>
      <c r="AF33" s="31">
        <f t="shared" si="8"/>
        <v>30000</v>
      </c>
    </row>
    <row r="34" spans="1:32" x14ac:dyDescent="0.25">
      <c r="A34" s="21"/>
      <c r="B34" s="21">
        <v>20842017</v>
      </c>
      <c r="C34" s="21" t="s">
        <v>63</v>
      </c>
      <c r="D34" s="21"/>
      <c r="E34" s="22">
        <v>4000</v>
      </c>
      <c r="F34" s="14" t="s">
        <v>175</v>
      </c>
      <c r="G34" s="5" t="s">
        <v>7</v>
      </c>
      <c r="H34" s="5" t="s">
        <v>137</v>
      </c>
      <c r="I34" s="5" t="s">
        <v>5</v>
      </c>
      <c r="J34" s="7">
        <v>7000</v>
      </c>
      <c r="K34" s="5"/>
      <c r="L34" s="5">
        <v>25000</v>
      </c>
      <c r="M34" s="5"/>
      <c r="N34" s="5" t="s">
        <v>175</v>
      </c>
      <c r="O34" s="6" t="s">
        <v>7</v>
      </c>
      <c r="P34" s="6" t="s">
        <v>137</v>
      </c>
      <c r="Q34" s="6" t="s">
        <v>4</v>
      </c>
      <c r="R34" s="6">
        <f t="shared" si="1"/>
        <v>25000</v>
      </c>
      <c r="S34" s="11">
        <v>5000</v>
      </c>
      <c r="T34" s="6"/>
      <c r="U34" s="41">
        <f t="shared" si="2"/>
        <v>0.2</v>
      </c>
      <c r="V34" s="10">
        <f t="shared" si="3"/>
        <v>30000</v>
      </c>
      <c r="W34" s="30"/>
      <c r="X34" s="31" t="s">
        <v>175</v>
      </c>
      <c r="Y34" s="31" t="s">
        <v>7</v>
      </c>
      <c r="Z34" s="31" t="s">
        <v>137</v>
      </c>
      <c r="AA34" s="32" t="s">
        <v>4</v>
      </c>
      <c r="AB34" s="34">
        <f t="shared" si="5"/>
        <v>30000</v>
      </c>
      <c r="AC34" s="33">
        <v>7000</v>
      </c>
      <c r="AE34" s="40">
        <f t="shared" si="4"/>
        <v>0.23333333333333334</v>
      </c>
      <c r="AF34" s="31">
        <f t="shared" si="8"/>
        <v>37000</v>
      </c>
    </row>
    <row r="35" spans="1:32" x14ac:dyDescent="0.25">
      <c r="A35" s="21"/>
      <c r="B35" s="21">
        <v>11092018</v>
      </c>
      <c r="C35" s="21" t="s">
        <v>194</v>
      </c>
      <c r="D35" s="21"/>
      <c r="E35" s="22">
        <v>0</v>
      </c>
      <c r="F35" s="23" t="s">
        <v>174</v>
      </c>
      <c r="G35" s="5" t="s">
        <v>174</v>
      </c>
      <c r="H35" s="5" t="s">
        <v>174</v>
      </c>
      <c r="I35" s="5" t="s">
        <v>174</v>
      </c>
      <c r="J35" s="7">
        <v>0</v>
      </c>
      <c r="K35" s="5" t="s">
        <v>174</v>
      </c>
      <c r="L35" s="5">
        <v>0</v>
      </c>
      <c r="M35" s="5" t="s">
        <v>174</v>
      </c>
      <c r="N35" s="5" t="s">
        <v>175</v>
      </c>
      <c r="O35" s="6" t="s">
        <v>7</v>
      </c>
      <c r="P35" s="6" t="s">
        <v>138</v>
      </c>
      <c r="Q35" s="6" t="s">
        <v>17</v>
      </c>
      <c r="R35" s="6">
        <f t="shared" si="1"/>
        <v>100000</v>
      </c>
      <c r="S35" s="11">
        <v>10000</v>
      </c>
      <c r="T35" s="6"/>
      <c r="U35" s="41">
        <f t="shared" si="2"/>
        <v>0.1</v>
      </c>
      <c r="V35" s="10">
        <v>110000</v>
      </c>
      <c r="W35" s="30"/>
      <c r="X35" s="31" t="s">
        <v>175</v>
      </c>
      <c r="Y35" s="31" t="s">
        <v>7</v>
      </c>
      <c r="Z35" s="31" t="s">
        <v>138</v>
      </c>
      <c r="AA35" s="32" t="s">
        <v>17</v>
      </c>
      <c r="AB35" s="34">
        <f t="shared" si="5"/>
        <v>110000</v>
      </c>
      <c r="AC35" s="33">
        <v>30000</v>
      </c>
      <c r="AE35" s="40">
        <f t="shared" si="4"/>
        <v>0.27272727272727271</v>
      </c>
      <c r="AF35" s="31">
        <f t="shared" si="8"/>
        <v>140000</v>
      </c>
    </row>
    <row r="36" spans="1:32" x14ac:dyDescent="0.25">
      <c r="A36" s="21"/>
      <c r="B36" s="21">
        <v>30211994</v>
      </c>
      <c r="C36" s="21" t="s">
        <v>64</v>
      </c>
      <c r="D36" s="21"/>
      <c r="E36" s="22">
        <v>2000</v>
      </c>
      <c r="F36" s="23" t="s">
        <v>175</v>
      </c>
      <c r="G36" s="5" t="s">
        <v>7</v>
      </c>
      <c r="H36" s="5" t="s">
        <v>138</v>
      </c>
      <c r="I36" s="5" t="s">
        <v>139</v>
      </c>
      <c r="J36" s="7">
        <v>3000</v>
      </c>
      <c r="K36" s="5"/>
      <c r="L36" s="5">
        <v>65000</v>
      </c>
      <c r="M36" s="5"/>
      <c r="N36" s="5" t="s">
        <v>175</v>
      </c>
      <c r="O36" s="6" t="s">
        <v>7</v>
      </c>
      <c r="P36" s="6" t="s">
        <v>138</v>
      </c>
      <c r="Q36" s="6" t="s">
        <v>139</v>
      </c>
      <c r="R36" s="6">
        <f t="shared" si="1"/>
        <v>65000</v>
      </c>
      <c r="S36" s="11">
        <v>5000</v>
      </c>
      <c r="T36" s="6"/>
      <c r="U36" s="41">
        <f t="shared" si="2"/>
        <v>7.6923076923076927E-2</v>
      </c>
      <c r="V36" s="10">
        <f t="shared" si="3"/>
        <v>70000</v>
      </c>
      <c r="W36" s="30"/>
      <c r="X36" s="31" t="s">
        <v>175</v>
      </c>
      <c r="Y36" s="31" t="s">
        <v>7</v>
      </c>
      <c r="Z36" s="31" t="s">
        <v>138</v>
      </c>
      <c r="AA36" s="32" t="s">
        <v>139</v>
      </c>
      <c r="AB36" s="34">
        <f t="shared" si="5"/>
        <v>70000</v>
      </c>
      <c r="AC36" s="33">
        <v>20000</v>
      </c>
      <c r="AE36" s="40">
        <f t="shared" si="4"/>
        <v>0.2857142857142857</v>
      </c>
      <c r="AF36" s="31">
        <f t="shared" si="8"/>
        <v>90000</v>
      </c>
    </row>
    <row r="37" spans="1:32" x14ac:dyDescent="0.25">
      <c r="A37" s="21"/>
      <c r="B37" s="21">
        <v>10252008</v>
      </c>
      <c r="C37" s="21" t="s">
        <v>65</v>
      </c>
      <c r="D37" s="21"/>
      <c r="E37" s="22">
        <v>1000</v>
      </c>
      <c r="F37" s="23" t="s">
        <v>175</v>
      </c>
      <c r="G37" s="5" t="s">
        <v>7</v>
      </c>
      <c r="H37" s="5" t="s">
        <v>138</v>
      </c>
      <c r="I37" s="5" t="s">
        <v>3</v>
      </c>
      <c r="J37" s="7">
        <v>3000</v>
      </c>
      <c r="K37" s="5"/>
      <c r="L37" s="5">
        <v>40000</v>
      </c>
      <c r="M37" s="5"/>
      <c r="N37" s="5" t="s">
        <v>175</v>
      </c>
      <c r="O37" s="6" t="s">
        <v>201</v>
      </c>
      <c r="P37" s="6" t="s">
        <v>138</v>
      </c>
      <c r="Q37" s="6" t="s">
        <v>21</v>
      </c>
      <c r="R37" s="6">
        <f t="shared" si="1"/>
        <v>40000</v>
      </c>
      <c r="S37" s="11">
        <v>6000</v>
      </c>
      <c r="T37" s="6"/>
      <c r="U37" s="41">
        <f t="shared" si="2"/>
        <v>0.15</v>
      </c>
      <c r="V37" s="10">
        <f t="shared" si="3"/>
        <v>46000</v>
      </c>
      <c r="W37" s="30"/>
      <c r="X37" s="31" t="s">
        <v>175</v>
      </c>
      <c r="Y37" s="31" t="s">
        <v>201</v>
      </c>
      <c r="Z37" s="31" t="s">
        <v>138</v>
      </c>
      <c r="AA37" s="32" t="s">
        <v>21</v>
      </c>
      <c r="AB37" s="34">
        <f t="shared" si="5"/>
        <v>46000</v>
      </c>
      <c r="AC37" s="33">
        <v>14000</v>
      </c>
      <c r="AE37" s="40">
        <f t="shared" si="4"/>
        <v>0.30434782608695654</v>
      </c>
      <c r="AF37" s="31">
        <f>V37+AC37</f>
        <v>60000</v>
      </c>
    </row>
    <row r="38" spans="1:32" x14ac:dyDescent="0.25">
      <c r="A38" s="21"/>
      <c r="B38" s="21">
        <v>21032017</v>
      </c>
      <c r="C38" s="21" t="s">
        <v>66</v>
      </c>
      <c r="D38" s="21"/>
      <c r="E38" s="22">
        <v>0</v>
      </c>
      <c r="F38" s="23" t="s">
        <v>175</v>
      </c>
      <c r="G38" s="5" t="s">
        <v>7</v>
      </c>
      <c r="H38" s="5" t="s">
        <v>138</v>
      </c>
      <c r="I38" s="5" t="s">
        <v>8</v>
      </c>
      <c r="J38" s="7">
        <v>5000</v>
      </c>
      <c r="K38" s="5"/>
      <c r="L38" s="5">
        <v>20000</v>
      </c>
      <c r="M38" s="5"/>
      <c r="N38" s="5" t="s">
        <v>175</v>
      </c>
      <c r="O38" s="6" t="s">
        <v>7</v>
      </c>
      <c r="P38" s="6" t="s">
        <v>138</v>
      </c>
      <c r="Q38" s="6" t="s">
        <v>8</v>
      </c>
      <c r="R38" s="6">
        <f t="shared" si="1"/>
        <v>20000</v>
      </c>
      <c r="S38" s="11">
        <v>6000</v>
      </c>
      <c r="T38" s="6"/>
      <c r="U38" s="41">
        <f t="shared" si="2"/>
        <v>0.3</v>
      </c>
      <c r="V38" s="10">
        <f t="shared" si="3"/>
        <v>26000</v>
      </c>
      <c r="W38" s="30"/>
      <c r="X38" s="31" t="s">
        <v>175</v>
      </c>
      <c r="Y38" s="31" t="s">
        <v>7</v>
      </c>
      <c r="Z38" s="31" t="s">
        <v>138</v>
      </c>
      <c r="AA38" s="32" t="s">
        <v>8</v>
      </c>
      <c r="AB38" s="34">
        <f t="shared" si="5"/>
        <v>26000</v>
      </c>
      <c r="AC38" s="33">
        <v>9000</v>
      </c>
      <c r="AE38" s="40">
        <f t="shared" si="4"/>
        <v>0.34615384615384615</v>
      </c>
      <c r="AF38" s="31">
        <f>V38+AC38</f>
        <v>35000</v>
      </c>
    </row>
    <row r="39" spans="1:32" x14ac:dyDescent="0.25">
      <c r="A39" s="21"/>
      <c r="B39" s="21">
        <v>30150000</v>
      </c>
      <c r="C39" s="21" t="s">
        <v>67</v>
      </c>
      <c r="D39" s="21"/>
      <c r="E39" s="22">
        <v>1000</v>
      </c>
      <c r="F39" s="23" t="s">
        <v>175</v>
      </c>
      <c r="G39" s="5" t="s">
        <v>7</v>
      </c>
      <c r="H39" s="5" t="s">
        <v>32</v>
      </c>
      <c r="I39" s="5" t="s">
        <v>33</v>
      </c>
      <c r="J39" s="7">
        <v>3000</v>
      </c>
      <c r="K39" s="5"/>
      <c r="L39" s="5">
        <v>84000</v>
      </c>
      <c r="M39" s="5"/>
      <c r="N39" s="5" t="s">
        <v>175</v>
      </c>
      <c r="O39" s="6" t="s">
        <v>7</v>
      </c>
      <c r="P39" s="6" t="s">
        <v>32</v>
      </c>
      <c r="Q39" s="6" t="s">
        <v>33</v>
      </c>
      <c r="R39" s="6">
        <f t="shared" si="1"/>
        <v>84000</v>
      </c>
      <c r="S39" s="11">
        <v>6000</v>
      </c>
      <c r="T39" s="6"/>
      <c r="U39" s="41">
        <f t="shared" si="2"/>
        <v>7.1428571428571425E-2</v>
      </c>
      <c r="V39" s="10">
        <f t="shared" si="3"/>
        <v>90000</v>
      </c>
      <c r="W39" s="30"/>
      <c r="X39" s="31" t="s">
        <v>175</v>
      </c>
      <c r="Y39" s="31" t="s">
        <v>7</v>
      </c>
      <c r="Z39" s="31" t="s">
        <v>32</v>
      </c>
      <c r="AA39" s="32" t="s">
        <v>33</v>
      </c>
      <c r="AB39" s="34">
        <f t="shared" si="5"/>
        <v>90000</v>
      </c>
      <c r="AC39" s="33">
        <v>10000</v>
      </c>
      <c r="AE39" s="40">
        <f t="shared" si="4"/>
        <v>0.1111111111111111</v>
      </c>
      <c r="AF39" s="31">
        <f>V39+AC39</f>
        <v>100000</v>
      </c>
    </row>
    <row r="40" spans="1:32" x14ac:dyDescent="0.25">
      <c r="A40" s="21"/>
      <c r="B40" s="21">
        <v>10882017</v>
      </c>
      <c r="C40" s="21" t="s">
        <v>140</v>
      </c>
      <c r="D40" s="21"/>
      <c r="E40" s="22">
        <v>0</v>
      </c>
      <c r="F40" s="23" t="s">
        <v>175</v>
      </c>
      <c r="G40" s="5" t="s">
        <v>7</v>
      </c>
      <c r="H40" s="5" t="s">
        <v>32</v>
      </c>
      <c r="I40" s="5" t="s">
        <v>9</v>
      </c>
      <c r="J40" s="7">
        <v>3000</v>
      </c>
      <c r="K40" s="5"/>
      <c r="L40" s="5">
        <v>18000</v>
      </c>
      <c r="M40" s="5"/>
      <c r="N40" s="5" t="s">
        <v>174</v>
      </c>
      <c r="O40" s="6"/>
      <c r="P40" s="6"/>
      <c r="Q40" s="6"/>
      <c r="R40" s="6">
        <f t="shared" si="1"/>
        <v>0</v>
      </c>
      <c r="S40" s="11"/>
      <c r="T40" s="6"/>
      <c r="U40" s="41"/>
      <c r="V40" s="10">
        <v>0</v>
      </c>
      <c r="W40" s="30"/>
      <c r="X40" s="31" t="s">
        <v>174</v>
      </c>
      <c r="AB40" s="34">
        <f t="shared" si="5"/>
        <v>0</v>
      </c>
    </row>
    <row r="41" spans="1:32" x14ac:dyDescent="0.25">
      <c r="A41" s="21"/>
      <c r="B41" s="21">
        <v>10242004</v>
      </c>
      <c r="C41" s="21" t="s">
        <v>68</v>
      </c>
      <c r="D41" s="21"/>
      <c r="E41" s="22">
        <v>1000</v>
      </c>
      <c r="F41" s="23" t="s">
        <v>175</v>
      </c>
      <c r="G41" s="5" t="s">
        <v>7</v>
      </c>
      <c r="H41" s="5" t="s">
        <v>32</v>
      </c>
      <c r="I41" s="5" t="s">
        <v>3</v>
      </c>
      <c r="J41" s="7">
        <v>3000</v>
      </c>
      <c r="K41" s="5"/>
      <c r="L41" s="5">
        <v>34000</v>
      </c>
      <c r="M41" s="5"/>
      <c r="N41" s="5" t="s">
        <v>175</v>
      </c>
      <c r="O41" s="6" t="s">
        <v>7</v>
      </c>
      <c r="P41" s="6" t="s">
        <v>32</v>
      </c>
      <c r="Q41" s="6" t="s">
        <v>3</v>
      </c>
      <c r="R41" s="6">
        <f t="shared" si="1"/>
        <v>34000</v>
      </c>
      <c r="S41" s="11">
        <v>3000</v>
      </c>
      <c r="T41" s="6"/>
      <c r="U41" s="41">
        <f t="shared" si="2"/>
        <v>8.8235294117647065E-2</v>
      </c>
      <c r="V41" s="10">
        <f t="shared" si="3"/>
        <v>37000</v>
      </c>
      <c r="W41" s="30"/>
      <c r="X41" s="31" t="s">
        <v>175</v>
      </c>
      <c r="Y41" s="31" t="s">
        <v>7</v>
      </c>
      <c r="Z41" s="31" t="s">
        <v>32</v>
      </c>
      <c r="AA41" s="32" t="s">
        <v>3</v>
      </c>
      <c r="AB41" s="34">
        <f t="shared" si="5"/>
        <v>37000</v>
      </c>
      <c r="AC41" s="33">
        <v>5000</v>
      </c>
      <c r="AE41" s="40">
        <f t="shared" si="4"/>
        <v>0.13513513513513514</v>
      </c>
      <c r="AF41" s="31">
        <f t="shared" ref="AF41:AF47" si="9">V41+AC41</f>
        <v>42000</v>
      </c>
    </row>
    <row r="42" spans="1:32" x14ac:dyDescent="0.25">
      <c r="A42" s="21"/>
      <c r="B42" s="21">
        <v>20922016</v>
      </c>
      <c r="C42" s="21" t="s">
        <v>69</v>
      </c>
      <c r="D42" s="21"/>
      <c r="E42" s="22">
        <v>0</v>
      </c>
      <c r="F42" s="23" t="s">
        <v>175</v>
      </c>
      <c r="G42" s="5" t="s">
        <v>7</v>
      </c>
      <c r="H42" s="5" t="s">
        <v>32</v>
      </c>
      <c r="I42" s="5" t="s">
        <v>6</v>
      </c>
      <c r="J42" s="7">
        <v>4000</v>
      </c>
      <c r="K42" s="5"/>
      <c r="L42" s="5">
        <v>22000</v>
      </c>
      <c r="M42" s="5"/>
      <c r="N42" s="5" t="s">
        <v>175</v>
      </c>
      <c r="O42" s="6" t="s">
        <v>7</v>
      </c>
      <c r="P42" s="6" t="s">
        <v>32</v>
      </c>
      <c r="Q42" s="6" t="s">
        <v>6</v>
      </c>
      <c r="R42" s="6">
        <f t="shared" si="1"/>
        <v>22000</v>
      </c>
      <c r="S42" s="11">
        <v>6000</v>
      </c>
      <c r="T42" s="6"/>
      <c r="U42" s="41">
        <f t="shared" si="2"/>
        <v>0.27272727272727271</v>
      </c>
      <c r="V42" s="10">
        <f t="shared" si="3"/>
        <v>28000</v>
      </c>
      <c r="W42" s="30"/>
      <c r="X42" s="31" t="s">
        <v>175</v>
      </c>
      <c r="Y42" s="31" t="s">
        <v>7</v>
      </c>
      <c r="Z42" s="31" t="s">
        <v>32</v>
      </c>
      <c r="AA42" s="32" t="s">
        <v>6</v>
      </c>
      <c r="AB42" s="34">
        <f t="shared" si="5"/>
        <v>28000</v>
      </c>
      <c r="AC42" s="33">
        <v>6000</v>
      </c>
      <c r="AE42" s="40">
        <f t="shared" si="4"/>
        <v>0.21428571428571427</v>
      </c>
      <c r="AF42" s="31">
        <f t="shared" si="9"/>
        <v>34000</v>
      </c>
    </row>
    <row r="43" spans="1:32" x14ac:dyDescent="0.25">
      <c r="A43" s="21"/>
      <c r="B43" s="21">
        <v>10852017</v>
      </c>
      <c r="C43" s="21" t="s">
        <v>70</v>
      </c>
      <c r="D43" s="21"/>
      <c r="E43" s="22">
        <v>2000</v>
      </c>
      <c r="F43" s="23" t="s">
        <v>175</v>
      </c>
      <c r="G43" s="5" t="s">
        <v>7</v>
      </c>
      <c r="H43" s="5" t="s">
        <v>32</v>
      </c>
      <c r="I43" s="5" t="s">
        <v>3</v>
      </c>
      <c r="J43" s="7">
        <v>1000</v>
      </c>
      <c r="K43" s="5"/>
      <c r="L43" s="5">
        <v>28000</v>
      </c>
      <c r="M43" s="5"/>
      <c r="N43" s="5" t="s">
        <v>175</v>
      </c>
      <c r="O43" s="6" t="s">
        <v>7</v>
      </c>
      <c r="P43" s="6" t="s">
        <v>32</v>
      </c>
      <c r="Q43" s="6" t="s">
        <v>3</v>
      </c>
      <c r="R43" s="6">
        <f t="shared" si="1"/>
        <v>28000</v>
      </c>
      <c r="S43" s="11">
        <v>3000</v>
      </c>
      <c r="T43" s="6"/>
      <c r="U43" s="41">
        <f t="shared" si="2"/>
        <v>0.10714285714285714</v>
      </c>
      <c r="V43" s="10">
        <f t="shared" si="3"/>
        <v>31000</v>
      </c>
      <c r="W43" s="30"/>
      <c r="X43" s="31" t="s">
        <v>175</v>
      </c>
      <c r="Y43" s="31" t="s">
        <v>7</v>
      </c>
      <c r="Z43" s="31" t="s">
        <v>32</v>
      </c>
      <c r="AA43" s="32" t="s">
        <v>3</v>
      </c>
      <c r="AB43" s="34">
        <f t="shared" ref="AB43:AB66" si="10">AF43-AC43</f>
        <v>31000</v>
      </c>
      <c r="AC43" s="33">
        <v>5000</v>
      </c>
      <c r="AE43" s="40">
        <f t="shared" si="4"/>
        <v>0.16129032258064516</v>
      </c>
      <c r="AF43" s="31">
        <f t="shared" si="9"/>
        <v>36000</v>
      </c>
    </row>
    <row r="44" spans="1:32" x14ac:dyDescent="0.25">
      <c r="A44" s="21"/>
      <c r="B44" s="21">
        <v>20242005</v>
      </c>
      <c r="C44" s="21" t="s">
        <v>71</v>
      </c>
      <c r="D44" s="21"/>
      <c r="E44" s="22">
        <v>1000</v>
      </c>
      <c r="F44" s="23" t="s">
        <v>175</v>
      </c>
      <c r="G44" s="5" t="s">
        <v>7</v>
      </c>
      <c r="H44" s="5" t="s">
        <v>32</v>
      </c>
      <c r="I44" s="5" t="s">
        <v>5</v>
      </c>
      <c r="J44" s="7">
        <v>3000</v>
      </c>
      <c r="K44" s="5"/>
      <c r="L44" s="5">
        <v>32000</v>
      </c>
      <c r="M44" s="5"/>
      <c r="N44" s="5" t="s">
        <v>175</v>
      </c>
      <c r="O44" s="6" t="s">
        <v>7</v>
      </c>
      <c r="P44" s="6" t="s">
        <v>32</v>
      </c>
      <c r="Q44" s="6" t="s">
        <v>5</v>
      </c>
      <c r="R44" s="6">
        <f t="shared" si="1"/>
        <v>32000</v>
      </c>
      <c r="S44" s="11">
        <v>4000</v>
      </c>
      <c r="T44" s="6"/>
      <c r="U44" s="41">
        <f t="shared" si="2"/>
        <v>0.125</v>
      </c>
      <c r="V44" s="10">
        <f t="shared" si="3"/>
        <v>36000</v>
      </c>
      <c r="W44" s="30"/>
      <c r="X44" s="31" t="s">
        <v>175</v>
      </c>
      <c r="Y44" s="31" t="s">
        <v>7</v>
      </c>
      <c r="Z44" s="31" t="s">
        <v>32</v>
      </c>
      <c r="AA44" s="32" t="s">
        <v>5</v>
      </c>
      <c r="AB44" s="34">
        <f t="shared" si="10"/>
        <v>36000</v>
      </c>
      <c r="AC44" s="33">
        <v>5000</v>
      </c>
      <c r="AE44" s="40">
        <f t="shared" si="4"/>
        <v>0.1388888888888889</v>
      </c>
      <c r="AF44" s="31">
        <f t="shared" si="9"/>
        <v>41000</v>
      </c>
    </row>
    <row r="45" spans="1:32" x14ac:dyDescent="0.25">
      <c r="A45" s="21"/>
      <c r="B45" s="21">
        <v>10982017</v>
      </c>
      <c r="C45" s="21" t="s">
        <v>72</v>
      </c>
      <c r="D45" s="21"/>
      <c r="E45" s="22">
        <v>0</v>
      </c>
      <c r="F45" s="23" t="s">
        <v>175</v>
      </c>
      <c r="G45" s="5" t="s">
        <v>7</v>
      </c>
      <c r="H45" s="5" t="s">
        <v>32</v>
      </c>
      <c r="I45" s="5" t="s">
        <v>142</v>
      </c>
      <c r="J45" s="7">
        <v>5000</v>
      </c>
      <c r="K45" s="5"/>
      <c r="L45" s="5">
        <v>20000</v>
      </c>
      <c r="M45" s="5"/>
      <c r="N45" s="5" t="s">
        <v>175</v>
      </c>
      <c r="O45" s="6" t="s">
        <v>7</v>
      </c>
      <c r="P45" s="6" t="s">
        <v>37</v>
      </c>
      <c r="Q45" s="6" t="s">
        <v>141</v>
      </c>
      <c r="R45" s="6">
        <f t="shared" si="1"/>
        <v>20000</v>
      </c>
      <c r="S45" s="11">
        <v>6000</v>
      </c>
      <c r="T45" s="6"/>
      <c r="U45" s="41">
        <f t="shared" si="2"/>
        <v>0.3</v>
      </c>
      <c r="V45" s="10">
        <f t="shared" si="3"/>
        <v>26000</v>
      </c>
      <c r="W45" s="30"/>
      <c r="X45" s="31" t="s">
        <v>175</v>
      </c>
      <c r="Y45" s="31" t="s">
        <v>7</v>
      </c>
      <c r="Z45" s="31" t="s">
        <v>32</v>
      </c>
      <c r="AA45" s="32" t="s">
        <v>4</v>
      </c>
      <c r="AB45" s="34">
        <f t="shared" si="10"/>
        <v>26000</v>
      </c>
      <c r="AC45" s="33">
        <v>5000</v>
      </c>
      <c r="AE45" s="40">
        <f t="shared" si="4"/>
        <v>0.19230769230769232</v>
      </c>
      <c r="AF45" s="31">
        <f t="shared" si="9"/>
        <v>31000</v>
      </c>
    </row>
    <row r="46" spans="1:32" x14ac:dyDescent="0.25">
      <c r="A46" s="21"/>
      <c r="B46" s="21">
        <v>21272018</v>
      </c>
      <c r="C46" s="21" t="s">
        <v>73</v>
      </c>
      <c r="D46" s="21"/>
      <c r="E46" s="22">
        <v>0</v>
      </c>
      <c r="F46" s="23" t="s">
        <v>175</v>
      </c>
      <c r="G46" s="5" t="s">
        <v>7</v>
      </c>
      <c r="H46" s="5" t="s">
        <v>32</v>
      </c>
      <c r="I46" s="5" t="s">
        <v>8</v>
      </c>
      <c r="J46" s="7">
        <v>0</v>
      </c>
      <c r="K46" s="5"/>
      <c r="L46" s="5">
        <v>15000</v>
      </c>
      <c r="M46" s="5"/>
      <c r="N46" s="5" t="s">
        <v>175</v>
      </c>
      <c r="O46" s="6" t="s">
        <v>7</v>
      </c>
      <c r="P46" s="6" t="s">
        <v>32</v>
      </c>
      <c r="Q46" s="6" t="s">
        <v>8</v>
      </c>
      <c r="R46" s="6">
        <f t="shared" si="1"/>
        <v>15000</v>
      </c>
      <c r="S46" s="11">
        <v>5000</v>
      </c>
      <c r="T46" s="6"/>
      <c r="U46" s="41">
        <f t="shared" si="2"/>
        <v>0.33333333333333331</v>
      </c>
      <c r="V46" s="10">
        <f t="shared" si="3"/>
        <v>20000</v>
      </c>
      <c r="W46" s="30"/>
      <c r="X46" s="31" t="s">
        <v>174</v>
      </c>
      <c r="AB46" s="34">
        <f t="shared" si="10"/>
        <v>0</v>
      </c>
    </row>
    <row r="47" spans="1:32" x14ac:dyDescent="0.25">
      <c r="A47" s="21"/>
      <c r="B47" s="21">
        <v>10762016</v>
      </c>
      <c r="C47" s="21" t="s">
        <v>74</v>
      </c>
      <c r="D47" s="21"/>
      <c r="E47" s="22">
        <v>2000</v>
      </c>
      <c r="F47" s="23" t="s">
        <v>175</v>
      </c>
      <c r="G47" s="5" t="s">
        <v>7</v>
      </c>
      <c r="H47" s="5" t="s">
        <v>146</v>
      </c>
      <c r="I47" s="5" t="s">
        <v>5</v>
      </c>
      <c r="J47" s="7">
        <v>6000</v>
      </c>
      <c r="K47" s="5"/>
      <c r="L47" s="5">
        <v>26000</v>
      </c>
      <c r="M47" s="5"/>
      <c r="N47" s="5" t="s">
        <v>175</v>
      </c>
      <c r="O47" s="6" t="s">
        <v>7</v>
      </c>
      <c r="P47" s="6" t="s">
        <v>146</v>
      </c>
      <c r="Q47" s="6" t="s">
        <v>5</v>
      </c>
      <c r="R47" s="6">
        <f t="shared" si="1"/>
        <v>26000</v>
      </c>
      <c r="S47" s="11">
        <v>4000</v>
      </c>
      <c r="T47" s="6"/>
      <c r="U47" s="41">
        <f t="shared" si="2"/>
        <v>0.15384615384615385</v>
      </c>
      <c r="V47" s="10">
        <f t="shared" si="3"/>
        <v>30000</v>
      </c>
      <c r="W47" s="30"/>
      <c r="X47" s="31" t="s">
        <v>175</v>
      </c>
      <c r="Y47" s="31" t="s">
        <v>7</v>
      </c>
      <c r="Z47" s="31" t="s">
        <v>146</v>
      </c>
      <c r="AA47" s="32" t="s">
        <v>5</v>
      </c>
      <c r="AB47" s="34">
        <f t="shared" si="10"/>
        <v>30000</v>
      </c>
      <c r="AC47" s="33">
        <v>5000</v>
      </c>
      <c r="AE47" s="40">
        <f t="shared" si="4"/>
        <v>0.16666666666666666</v>
      </c>
      <c r="AF47" s="31">
        <f t="shared" si="9"/>
        <v>35000</v>
      </c>
    </row>
    <row r="48" spans="1:32" x14ac:dyDescent="0.25">
      <c r="A48" s="21"/>
      <c r="B48" s="21">
        <v>21002017</v>
      </c>
      <c r="C48" s="21" t="s">
        <v>143</v>
      </c>
      <c r="D48" s="21"/>
      <c r="E48" s="22"/>
      <c r="F48" s="23" t="s">
        <v>175</v>
      </c>
      <c r="G48" s="5" t="s">
        <v>7</v>
      </c>
      <c r="H48" s="5" t="s">
        <v>146</v>
      </c>
      <c r="I48" s="5" t="s">
        <v>147</v>
      </c>
      <c r="J48" s="7">
        <v>2000</v>
      </c>
      <c r="K48" s="5"/>
      <c r="L48" s="5">
        <v>40000</v>
      </c>
      <c r="M48" s="5"/>
      <c r="N48" s="5"/>
      <c r="O48" s="6"/>
      <c r="P48" s="6"/>
      <c r="Q48" s="6"/>
      <c r="R48" s="6"/>
      <c r="S48" s="11"/>
      <c r="T48" s="6"/>
      <c r="U48" s="41"/>
      <c r="V48" s="10">
        <f t="shared" si="3"/>
        <v>40000</v>
      </c>
      <c r="W48" s="30" t="s">
        <v>182</v>
      </c>
      <c r="X48" s="31" t="s">
        <v>174</v>
      </c>
      <c r="AB48" s="34">
        <f t="shared" si="10"/>
        <v>0</v>
      </c>
    </row>
    <row r="49" spans="1:32" x14ac:dyDescent="0.25">
      <c r="A49" s="21"/>
      <c r="B49" s="21">
        <v>21052017</v>
      </c>
      <c r="C49" s="21" t="s">
        <v>144</v>
      </c>
      <c r="D49" s="21"/>
      <c r="E49" s="22">
        <v>10000</v>
      </c>
      <c r="F49" s="23" t="s">
        <v>175</v>
      </c>
      <c r="G49" s="5" t="s">
        <v>7</v>
      </c>
      <c r="H49" s="5" t="s">
        <v>146</v>
      </c>
      <c r="I49" s="5" t="s">
        <v>147</v>
      </c>
      <c r="J49" s="7">
        <v>3000</v>
      </c>
      <c r="K49" s="5"/>
      <c r="L49" s="5">
        <v>40000</v>
      </c>
      <c r="M49" s="5"/>
      <c r="N49" s="5"/>
      <c r="O49" s="6"/>
      <c r="P49" s="6"/>
      <c r="Q49" s="6"/>
      <c r="R49" s="6"/>
      <c r="S49" s="11"/>
      <c r="T49" s="6"/>
      <c r="U49" s="41"/>
      <c r="V49" s="10">
        <f t="shared" si="3"/>
        <v>40000</v>
      </c>
      <c r="W49" s="30" t="s">
        <v>182</v>
      </c>
      <c r="X49" s="31" t="s">
        <v>174</v>
      </c>
      <c r="AB49" s="34">
        <f t="shared" si="10"/>
        <v>0</v>
      </c>
    </row>
    <row r="50" spans="1:32" x14ac:dyDescent="0.25">
      <c r="A50" s="21"/>
      <c r="B50" s="21">
        <v>21202018</v>
      </c>
      <c r="C50" s="21" t="s">
        <v>145</v>
      </c>
      <c r="D50" s="21"/>
      <c r="E50" s="22">
        <v>0</v>
      </c>
      <c r="F50" s="23" t="s">
        <v>175</v>
      </c>
      <c r="G50" s="5" t="s">
        <v>7</v>
      </c>
      <c r="H50" s="5" t="s">
        <v>146</v>
      </c>
      <c r="I50" s="5" t="s">
        <v>3</v>
      </c>
      <c r="J50" s="7">
        <v>0</v>
      </c>
      <c r="K50" s="5"/>
      <c r="L50" s="5">
        <v>37000</v>
      </c>
      <c r="M50" s="5"/>
      <c r="N50" s="5"/>
      <c r="O50" s="6"/>
      <c r="P50" s="6"/>
      <c r="Q50" s="6"/>
      <c r="R50" s="6"/>
      <c r="S50" s="11"/>
      <c r="T50" s="6"/>
      <c r="U50" s="41"/>
      <c r="V50" s="10">
        <f t="shared" si="3"/>
        <v>37000</v>
      </c>
      <c r="W50" s="30"/>
      <c r="X50" s="31" t="s">
        <v>174</v>
      </c>
      <c r="AB50" s="34">
        <f t="shared" si="10"/>
        <v>0</v>
      </c>
    </row>
    <row r="51" spans="1:32" x14ac:dyDescent="0.25">
      <c r="A51" s="21"/>
      <c r="B51" s="21">
        <v>20072000</v>
      </c>
      <c r="C51" s="21" t="s">
        <v>75</v>
      </c>
      <c r="D51" s="21"/>
      <c r="E51" s="22">
        <v>2000</v>
      </c>
      <c r="F51" s="23" t="s">
        <v>175</v>
      </c>
      <c r="G51" s="5" t="s">
        <v>7</v>
      </c>
      <c r="H51" s="5" t="s">
        <v>19</v>
      </c>
      <c r="I51" s="5" t="s">
        <v>139</v>
      </c>
      <c r="J51" s="7">
        <v>3000</v>
      </c>
      <c r="K51" s="5"/>
      <c r="L51" s="5">
        <v>55000</v>
      </c>
      <c r="M51" s="5"/>
      <c r="N51" s="5" t="s">
        <v>175</v>
      </c>
      <c r="O51" s="6" t="s">
        <v>7</v>
      </c>
      <c r="P51" s="6" t="s">
        <v>19</v>
      </c>
      <c r="Q51" s="6" t="s">
        <v>139</v>
      </c>
      <c r="R51" s="6">
        <f t="shared" si="1"/>
        <v>55000</v>
      </c>
      <c r="S51" s="11">
        <v>4000</v>
      </c>
      <c r="T51" s="6"/>
      <c r="U51" s="41">
        <f t="shared" si="2"/>
        <v>7.2727272727272724E-2</v>
      </c>
      <c r="V51" s="10">
        <f t="shared" si="3"/>
        <v>59000</v>
      </c>
      <c r="W51" s="30"/>
      <c r="X51" s="31" t="s">
        <v>175</v>
      </c>
      <c r="Y51" s="31" t="s">
        <v>7</v>
      </c>
      <c r="Z51" s="31" t="s">
        <v>19</v>
      </c>
      <c r="AA51" s="32" t="s">
        <v>139</v>
      </c>
      <c r="AB51" s="34">
        <f t="shared" si="10"/>
        <v>59000</v>
      </c>
      <c r="AC51" s="33">
        <v>8000</v>
      </c>
      <c r="AE51" s="40">
        <f t="shared" si="4"/>
        <v>0.13559322033898305</v>
      </c>
      <c r="AF51" s="31">
        <f t="shared" ref="AF51:AF56" si="11">V51+AC51</f>
        <v>67000</v>
      </c>
    </row>
    <row r="52" spans="1:32" x14ac:dyDescent="0.25">
      <c r="A52" s="21"/>
      <c r="B52" s="21">
        <v>10092005</v>
      </c>
      <c r="C52" s="21" t="s">
        <v>76</v>
      </c>
      <c r="D52" s="21"/>
      <c r="E52" s="22">
        <v>1000</v>
      </c>
      <c r="F52" s="23" t="s">
        <v>175</v>
      </c>
      <c r="G52" s="5" t="s">
        <v>7</v>
      </c>
      <c r="H52" s="5" t="s">
        <v>19</v>
      </c>
      <c r="I52" s="5" t="s">
        <v>4</v>
      </c>
      <c r="J52" s="7">
        <v>3000</v>
      </c>
      <c r="K52" s="5"/>
      <c r="L52" s="5">
        <v>47000</v>
      </c>
      <c r="M52" s="5"/>
      <c r="N52" s="5" t="s">
        <v>175</v>
      </c>
      <c r="O52" s="6" t="s">
        <v>201</v>
      </c>
      <c r="P52" s="6" t="s">
        <v>19</v>
      </c>
      <c r="Q52" s="6" t="s">
        <v>4</v>
      </c>
      <c r="R52" s="6">
        <f t="shared" si="1"/>
        <v>47000</v>
      </c>
      <c r="S52" s="11">
        <v>5000</v>
      </c>
      <c r="T52" s="6"/>
      <c r="U52" s="41">
        <f t="shared" si="2"/>
        <v>0.10638297872340426</v>
      </c>
      <c r="V52" s="10">
        <f t="shared" si="3"/>
        <v>52000</v>
      </c>
      <c r="W52" s="30"/>
      <c r="X52" s="31" t="s">
        <v>175</v>
      </c>
      <c r="Y52" s="31" t="s">
        <v>201</v>
      </c>
      <c r="Z52" s="31" t="s">
        <v>19</v>
      </c>
      <c r="AA52" s="32" t="s">
        <v>4</v>
      </c>
      <c r="AB52" s="34">
        <f t="shared" si="10"/>
        <v>52000</v>
      </c>
      <c r="AC52" s="33">
        <v>8000</v>
      </c>
      <c r="AE52" s="40">
        <f t="shared" si="4"/>
        <v>0.15384615384615385</v>
      </c>
      <c r="AF52" s="31">
        <v>60000</v>
      </c>
    </row>
    <row r="53" spans="1:32" x14ac:dyDescent="0.25">
      <c r="A53" s="21"/>
      <c r="B53" s="21">
        <v>20122009</v>
      </c>
      <c r="C53" s="21" t="s">
        <v>77</v>
      </c>
      <c r="D53" s="21"/>
      <c r="E53" s="22">
        <v>1000</v>
      </c>
      <c r="F53" s="23" t="s">
        <v>175</v>
      </c>
      <c r="G53" s="5" t="s">
        <v>7</v>
      </c>
      <c r="H53" s="5" t="s">
        <v>19</v>
      </c>
      <c r="I53" s="5" t="s">
        <v>9</v>
      </c>
      <c r="J53" s="7">
        <v>3000</v>
      </c>
      <c r="K53" s="5" t="s">
        <v>6</v>
      </c>
      <c r="L53" s="5">
        <v>35000</v>
      </c>
      <c r="M53" s="5"/>
      <c r="N53" s="5" t="s">
        <v>175</v>
      </c>
      <c r="O53" s="6" t="s">
        <v>7</v>
      </c>
      <c r="P53" s="6" t="s">
        <v>19</v>
      </c>
      <c r="Q53" s="6" t="s">
        <v>6</v>
      </c>
      <c r="R53" s="6">
        <f t="shared" si="1"/>
        <v>35000</v>
      </c>
      <c r="S53" s="11">
        <v>6000</v>
      </c>
      <c r="T53" s="6"/>
      <c r="U53" s="41">
        <f t="shared" si="2"/>
        <v>0.17142857142857143</v>
      </c>
      <c r="V53" s="10">
        <f t="shared" si="3"/>
        <v>41000</v>
      </c>
      <c r="W53" s="30" t="s">
        <v>275</v>
      </c>
      <c r="X53" s="31" t="s">
        <v>175</v>
      </c>
      <c r="Y53" s="31" t="s">
        <v>7</v>
      </c>
      <c r="Z53" s="31" t="s">
        <v>19</v>
      </c>
      <c r="AA53" s="32" t="s">
        <v>6</v>
      </c>
      <c r="AB53" s="34">
        <f t="shared" si="10"/>
        <v>41000</v>
      </c>
      <c r="AC53" s="33">
        <v>5000</v>
      </c>
      <c r="AE53" s="40">
        <f t="shared" si="4"/>
        <v>0.12195121951219512</v>
      </c>
      <c r="AF53" s="31">
        <f t="shared" si="11"/>
        <v>46000</v>
      </c>
    </row>
    <row r="54" spans="1:32" x14ac:dyDescent="0.25">
      <c r="A54" s="21"/>
      <c r="B54" s="21">
        <v>21142017</v>
      </c>
      <c r="C54" s="21" t="s">
        <v>78</v>
      </c>
      <c r="D54" s="21"/>
      <c r="E54" s="22">
        <v>5000</v>
      </c>
      <c r="F54" s="23" t="s">
        <v>175</v>
      </c>
      <c r="G54" s="5" t="s">
        <v>7</v>
      </c>
      <c r="H54" s="5" t="s">
        <v>19</v>
      </c>
      <c r="I54" s="5" t="s">
        <v>6</v>
      </c>
      <c r="J54" s="7">
        <v>7000</v>
      </c>
      <c r="K54" s="5"/>
      <c r="L54" s="5">
        <v>22000</v>
      </c>
      <c r="M54" s="5"/>
      <c r="N54" s="5" t="s">
        <v>175</v>
      </c>
      <c r="O54" s="6" t="s">
        <v>7</v>
      </c>
      <c r="P54" s="6" t="s">
        <v>19</v>
      </c>
      <c r="Q54" s="6" t="s">
        <v>6</v>
      </c>
      <c r="R54" s="6">
        <f t="shared" si="1"/>
        <v>22000</v>
      </c>
      <c r="S54" s="11">
        <v>5000</v>
      </c>
      <c r="T54" s="6"/>
      <c r="U54" s="41">
        <f t="shared" si="2"/>
        <v>0.22727272727272727</v>
      </c>
      <c r="V54" s="10">
        <f t="shared" si="3"/>
        <v>27000</v>
      </c>
      <c r="W54" s="30"/>
      <c r="X54" s="31" t="s">
        <v>175</v>
      </c>
      <c r="Y54" s="31" t="s">
        <v>7</v>
      </c>
      <c r="Z54" s="31" t="s">
        <v>19</v>
      </c>
      <c r="AA54" s="32" t="s">
        <v>6</v>
      </c>
      <c r="AB54" s="34">
        <f t="shared" si="10"/>
        <v>27000</v>
      </c>
      <c r="AC54" s="33">
        <v>8000</v>
      </c>
      <c r="AE54" s="40">
        <f t="shared" si="4"/>
        <v>0.29629629629629628</v>
      </c>
      <c r="AF54" s="31">
        <f t="shared" si="11"/>
        <v>35000</v>
      </c>
    </row>
    <row r="55" spans="1:32" x14ac:dyDescent="0.25">
      <c r="A55" s="21"/>
      <c r="B55" s="21">
        <v>10542014</v>
      </c>
      <c r="C55" s="21" t="s">
        <v>79</v>
      </c>
      <c r="D55" s="21"/>
      <c r="E55" s="22">
        <v>2000</v>
      </c>
      <c r="F55" s="23" t="s">
        <v>175</v>
      </c>
      <c r="G55" s="5" t="s">
        <v>7</v>
      </c>
      <c r="H55" s="5" t="s">
        <v>19</v>
      </c>
      <c r="I55" s="5" t="s">
        <v>3</v>
      </c>
      <c r="J55" s="7">
        <v>5000</v>
      </c>
      <c r="K55" s="5"/>
      <c r="L55" s="5">
        <v>25000</v>
      </c>
      <c r="M55" s="5"/>
      <c r="N55" s="5" t="s">
        <v>175</v>
      </c>
      <c r="O55" s="6" t="s">
        <v>7</v>
      </c>
      <c r="P55" s="6" t="s">
        <v>19</v>
      </c>
      <c r="Q55" s="6" t="s">
        <v>3</v>
      </c>
      <c r="R55" s="6">
        <f t="shared" si="1"/>
        <v>25000</v>
      </c>
      <c r="S55" s="11">
        <v>4000</v>
      </c>
      <c r="T55" s="6"/>
      <c r="U55" s="41">
        <f t="shared" si="2"/>
        <v>0.16</v>
      </c>
      <c r="V55" s="10">
        <f t="shared" si="3"/>
        <v>29000</v>
      </c>
      <c r="W55" s="30"/>
      <c r="X55" s="31" t="s">
        <v>175</v>
      </c>
      <c r="Y55" s="31" t="s">
        <v>7</v>
      </c>
      <c r="Z55" s="31" t="s">
        <v>19</v>
      </c>
      <c r="AA55" s="32" t="s">
        <v>3</v>
      </c>
      <c r="AB55" s="34">
        <f t="shared" si="10"/>
        <v>29000</v>
      </c>
      <c r="AC55" s="33">
        <v>6000</v>
      </c>
      <c r="AE55" s="40">
        <f t="shared" si="4"/>
        <v>0.20689655172413793</v>
      </c>
      <c r="AF55" s="31">
        <f t="shared" si="11"/>
        <v>35000</v>
      </c>
    </row>
    <row r="56" spans="1:32" x14ac:dyDescent="0.25">
      <c r="A56" s="21"/>
      <c r="B56" s="21">
        <v>10192011</v>
      </c>
      <c r="C56" s="21" t="s">
        <v>80</v>
      </c>
      <c r="D56" s="21"/>
      <c r="E56" s="22">
        <v>1000</v>
      </c>
      <c r="F56" s="23" t="s">
        <v>175</v>
      </c>
      <c r="G56" s="5" t="s">
        <v>7</v>
      </c>
      <c r="H56" s="5" t="s">
        <v>19</v>
      </c>
      <c r="I56" s="5" t="s">
        <v>9</v>
      </c>
      <c r="J56" s="7">
        <v>5000</v>
      </c>
      <c r="K56" s="5" t="s">
        <v>6</v>
      </c>
      <c r="L56" s="5">
        <v>27000</v>
      </c>
      <c r="M56" s="5"/>
      <c r="N56" s="5" t="s">
        <v>175</v>
      </c>
      <c r="O56" s="6" t="s">
        <v>7</v>
      </c>
      <c r="P56" s="6" t="s">
        <v>19</v>
      </c>
      <c r="Q56" s="6" t="s">
        <v>6</v>
      </c>
      <c r="R56" s="6">
        <f t="shared" si="1"/>
        <v>27000</v>
      </c>
      <c r="S56" s="11">
        <v>5000</v>
      </c>
      <c r="T56" s="6"/>
      <c r="U56" s="41">
        <f t="shared" si="2"/>
        <v>0.18518518518518517</v>
      </c>
      <c r="V56" s="10">
        <f t="shared" si="3"/>
        <v>32000</v>
      </c>
      <c r="W56" s="30"/>
      <c r="X56" s="31" t="s">
        <v>175</v>
      </c>
      <c r="Y56" s="31" t="s">
        <v>7</v>
      </c>
      <c r="Z56" s="31" t="s">
        <v>19</v>
      </c>
      <c r="AA56" s="32" t="s">
        <v>6</v>
      </c>
      <c r="AB56" s="34">
        <f t="shared" si="10"/>
        <v>32000</v>
      </c>
      <c r="AC56" s="33">
        <v>6000</v>
      </c>
      <c r="AE56" s="40">
        <f t="shared" si="4"/>
        <v>0.1875</v>
      </c>
      <c r="AF56" s="31">
        <f t="shared" si="11"/>
        <v>38000</v>
      </c>
    </row>
    <row r="57" spans="1:32" x14ac:dyDescent="0.25">
      <c r="A57" s="21"/>
      <c r="B57" s="21">
        <v>20062000</v>
      </c>
      <c r="C57" s="21" t="s">
        <v>81</v>
      </c>
      <c r="D57" s="21"/>
      <c r="E57" s="22">
        <v>0</v>
      </c>
      <c r="F57" s="23" t="s">
        <v>175</v>
      </c>
      <c r="G57" s="5" t="s">
        <v>7</v>
      </c>
      <c r="H57" s="5" t="s">
        <v>19</v>
      </c>
      <c r="I57" s="5" t="s">
        <v>139</v>
      </c>
      <c r="J57" s="7">
        <v>3000</v>
      </c>
      <c r="K57" s="5"/>
      <c r="L57" s="5">
        <v>63000</v>
      </c>
      <c r="M57" s="5"/>
      <c r="N57" s="5" t="s">
        <v>175</v>
      </c>
      <c r="O57" s="6" t="s">
        <v>7</v>
      </c>
      <c r="P57" s="6" t="s">
        <v>19</v>
      </c>
      <c r="Q57" s="6" t="s">
        <v>139</v>
      </c>
      <c r="R57" s="6">
        <f t="shared" si="1"/>
        <v>63000</v>
      </c>
      <c r="S57" s="11">
        <v>5000</v>
      </c>
      <c r="T57" s="6"/>
      <c r="U57" s="41">
        <f t="shared" si="2"/>
        <v>7.9365079365079361E-2</v>
      </c>
      <c r="V57" s="10">
        <f t="shared" si="3"/>
        <v>68000</v>
      </c>
      <c r="W57" s="30"/>
      <c r="X57" s="31" t="s">
        <v>175</v>
      </c>
      <c r="Y57" s="31" t="s">
        <v>7</v>
      </c>
      <c r="Z57" s="31" t="s">
        <v>19</v>
      </c>
      <c r="AA57" s="32" t="s">
        <v>139</v>
      </c>
      <c r="AB57" s="34">
        <f t="shared" si="10"/>
        <v>68000</v>
      </c>
      <c r="AC57" s="33">
        <v>12000</v>
      </c>
      <c r="AE57" s="40">
        <f t="shared" si="4"/>
        <v>0.17647058823529413</v>
      </c>
      <c r="AF57" s="31">
        <f>V57+AC57</f>
        <v>80000</v>
      </c>
    </row>
    <row r="58" spans="1:32" x14ac:dyDescent="0.25">
      <c r="A58" s="21"/>
      <c r="B58" s="21">
        <v>10112004</v>
      </c>
      <c r="C58" s="21" t="s">
        <v>148</v>
      </c>
      <c r="D58" s="21"/>
      <c r="E58" s="22">
        <v>1000</v>
      </c>
      <c r="F58" s="23" t="s">
        <v>175</v>
      </c>
      <c r="G58" s="5" t="s">
        <v>7</v>
      </c>
      <c r="H58" s="5" t="s">
        <v>19</v>
      </c>
      <c r="I58" s="5" t="s">
        <v>3</v>
      </c>
      <c r="J58" s="7">
        <v>3000</v>
      </c>
      <c r="K58" s="5"/>
      <c r="L58" s="5">
        <v>35000</v>
      </c>
      <c r="M58" s="5"/>
      <c r="N58" s="5" t="s">
        <v>175</v>
      </c>
      <c r="O58" s="6" t="s">
        <v>7</v>
      </c>
      <c r="P58" s="6" t="s">
        <v>19</v>
      </c>
      <c r="Q58" s="6" t="s">
        <v>3</v>
      </c>
      <c r="R58" s="6">
        <f t="shared" si="1"/>
        <v>35000</v>
      </c>
      <c r="S58" s="11">
        <v>5000</v>
      </c>
      <c r="T58" s="6"/>
      <c r="U58" s="41">
        <f t="shared" si="2"/>
        <v>0.14285714285714285</v>
      </c>
      <c r="V58" s="10">
        <f t="shared" si="3"/>
        <v>40000</v>
      </c>
      <c r="W58" s="30"/>
      <c r="AB58" s="34">
        <f t="shared" si="10"/>
        <v>0</v>
      </c>
    </row>
    <row r="59" spans="1:32" x14ac:dyDescent="0.25">
      <c r="A59" s="21"/>
      <c r="B59" s="21">
        <v>20172012</v>
      </c>
      <c r="C59" s="21" t="s">
        <v>82</v>
      </c>
      <c r="D59" s="21"/>
      <c r="E59" s="22">
        <v>2000</v>
      </c>
      <c r="F59" s="23" t="s">
        <v>175</v>
      </c>
      <c r="G59" s="5" t="s">
        <v>7</v>
      </c>
      <c r="H59" s="5" t="s">
        <v>19</v>
      </c>
      <c r="I59" s="5" t="s">
        <v>3</v>
      </c>
      <c r="J59" s="7">
        <v>3000</v>
      </c>
      <c r="K59" s="5"/>
      <c r="L59" s="5">
        <v>26000</v>
      </c>
      <c r="M59" s="5"/>
      <c r="N59" s="5" t="s">
        <v>175</v>
      </c>
      <c r="O59" s="6" t="s">
        <v>7</v>
      </c>
      <c r="P59" s="6" t="s">
        <v>195</v>
      </c>
      <c r="Q59" s="6" t="s">
        <v>3</v>
      </c>
      <c r="R59" s="6">
        <f t="shared" si="1"/>
        <v>26000</v>
      </c>
      <c r="S59" s="11">
        <v>4000</v>
      </c>
      <c r="T59" s="6"/>
      <c r="U59" s="41">
        <f t="shared" si="2"/>
        <v>0.15384615384615385</v>
      </c>
      <c r="V59" s="10">
        <f t="shared" si="3"/>
        <v>30000</v>
      </c>
      <c r="W59" s="30"/>
      <c r="X59" s="31" t="s">
        <v>175</v>
      </c>
      <c r="Y59" s="31" t="s">
        <v>7</v>
      </c>
      <c r="Z59" s="31" t="s">
        <v>276</v>
      </c>
      <c r="AA59" s="32" t="s">
        <v>3</v>
      </c>
      <c r="AB59" s="34">
        <f t="shared" si="10"/>
        <v>30000</v>
      </c>
      <c r="AC59" s="33">
        <v>7000</v>
      </c>
      <c r="AE59" s="40">
        <f t="shared" si="4"/>
        <v>0.23333333333333334</v>
      </c>
      <c r="AF59" s="31">
        <f>V59+AC59</f>
        <v>37000</v>
      </c>
    </row>
    <row r="60" spans="1:32" x14ac:dyDescent="0.25">
      <c r="A60" s="21"/>
      <c r="B60" s="21">
        <v>20152010</v>
      </c>
      <c r="C60" s="21" t="s">
        <v>83</v>
      </c>
      <c r="D60" s="21"/>
      <c r="E60" s="22">
        <v>1000</v>
      </c>
      <c r="F60" s="23" t="s">
        <v>175</v>
      </c>
      <c r="G60" s="5" t="s">
        <v>7</v>
      </c>
      <c r="H60" s="5" t="s">
        <v>19</v>
      </c>
      <c r="I60" s="5" t="s">
        <v>3</v>
      </c>
      <c r="J60" s="7">
        <v>3000</v>
      </c>
      <c r="K60" s="5"/>
      <c r="L60" s="5">
        <v>25000</v>
      </c>
      <c r="M60" s="5"/>
      <c r="N60" s="5" t="s">
        <v>175</v>
      </c>
      <c r="O60" s="6" t="s">
        <v>201</v>
      </c>
      <c r="P60" s="6" t="s">
        <v>19</v>
      </c>
      <c r="Q60" s="6" t="s">
        <v>3</v>
      </c>
      <c r="R60" s="6">
        <f t="shared" si="1"/>
        <v>25000</v>
      </c>
      <c r="S60" s="11">
        <v>4000</v>
      </c>
      <c r="T60" s="6"/>
      <c r="U60" s="41">
        <f t="shared" si="2"/>
        <v>0.16</v>
      </c>
      <c r="V60" s="10">
        <f t="shared" si="3"/>
        <v>29000</v>
      </c>
      <c r="W60" s="30"/>
      <c r="X60" s="31" t="s">
        <v>175</v>
      </c>
      <c r="Y60" s="31" t="s">
        <v>201</v>
      </c>
      <c r="Z60" s="31" t="s">
        <v>19</v>
      </c>
      <c r="AA60" s="32" t="s">
        <v>3</v>
      </c>
      <c r="AB60" s="34">
        <f t="shared" si="10"/>
        <v>29000</v>
      </c>
      <c r="AC60" s="33">
        <v>8000</v>
      </c>
      <c r="AE60" s="40">
        <f t="shared" si="4"/>
        <v>0.27586206896551724</v>
      </c>
      <c r="AF60" s="31">
        <f>V60+AC60</f>
        <v>37000</v>
      </c>
    </row>
    <row r="61" spans="1:32" x14ac:dyDescent="0.25">
      <c r="A61" s="21"/>
      <c r="B61" s="21">
        <v>21312018</v>
      </c>
      <c r="C61" s="21" t="s">
        <v>193</v>
      </c>
      <c r="D61" s="21"/>
      <c r="E61" s="22">
        <v>0</v>
      </c>
      <c r="F61" s="23" t="s">
        <v>174</v>
      </c>
      <c r="G61" s="5" t="s">
        <v>174</v>
      </c>
      <c r="H61" s="5" t="s">
        <v>174</v>
      </c>
      <c r="I61" s="5" t="s">
        <v>174</v>
      </c>
      <c r="J61" s="7">
        <v>0</v>
      </c>
      <c r="K61" s="5" t="s">
        <v>174</v>
      </c>
      <c r="L61" s="5">
        <v>0</v>
      </c>
      <c r="M61" s="5"/>
      <c r="N61" s="5" t="s">
        <v>175</v>
      </c>
      <c r="O61" s="6" t="s">
        <v>7</v>
      </c>
      <c r="P61" s="6" t="s">
        <v>19</v>
      </c>
      <c r="Q61" s="6" t="s">
        <v>9</v>
      </c>
      <c r="R61" s="6">
        <f t="shared" si="1"/>
        <v>14000</v>
      </c>
      <c r="S61" s="11">
        <v>6000</v>
      </c>
      <c r="T61" s="6"/>
      <c r="U61" s="41">
        <f t="shared" si="2"/>
        <v>0.42857142857142855</v>
      </c>
      <c r="V61" s="10">
        <v>20000</v>
      </c>
      <c r="W61" s="30"/>
      <c r="X61" s="31" t="s">
        <v>175</v>
      </c>
      <c r="Y61" s="31" t="s">
        <v>7</v>
      </c>
      <c r="Z61" s="31" t="s">
        <v>19</v>
      </c>
      <c r="AA61" s="32" t="s">
        <v>8</v>
      </c>
      <c r="AB61" s="34">
        <f t="shared" si="10"/>
        <v>20000</v>
      </c>
      <c r="AC61" s="33">
        <v>6000</v>
      </c>
      <c r="AE61" s="40">
        <f t="shared" si="4"/>
        <v>0.3</v>
      </c>
      <c r="AF61" s="31">
        <f>V61+AC61</f>
        <v>26000</v>
      </c>
    </row>
    <row r="62" spans="1:32" x14ac:dyDescent="0.25">
      <c r="A62" s="21"/>
      <c r="B62" s="21">
        <v>10202011</v>
      </c>
      <c r="C62" s="21" t="s">
        <v>149</v>
      </c>
      <c r="D62" s="21"/>
      <c r="E62" s="22">
        <v>1000</v>
      </c>
      <c r="F62" s="23" t="s">
        <v>175</v>
      </c>
      <c r="G62" s="5" t="s">
        <v>7</v>
      </c>
      <c r="H62" s="5" t="s">
        <v>19</v>
      </c>
      <c r="I62" s="5" t="s">
        <v>3</v>
      </c>
      <c r="J62" s="7">
        <v>3000</v>
      </c>
      <c r="K62" s="5"/>
      <c r="L62" s="5">
        <v>22000</v>
      </c>
      <c r="M62" s="5"/>
      <c r="N62" s="5" t="s">
        <v>175</v>
      </c>
      <c r="O62" s="6" t="s">
        <v>7</v>
      </c>
      <c r="P62" s="6" t="s">
        <v>19</v>
      </c>
      <c r="Q62" s="6" t="s">
        <v>3</v>
      </c>
      <c r="R62" s="6">
        <f t="shared" si="1"/>
        <v>22000</v>
      </c>
      <c r="S62" s="11">
        <v>3000</v>
      </c>
      <c r="T62" s="6"/>
      <c r="U62" s="41">
        <f t="shared" si="2"/>
        <v>0.13636363636363635</v>
      </c>
      <c r="V62" s="10">
        <f t="shared" si="3"/>
        <v>25000</v>
      </c>
      <c r="W62" s="30"/>
      <c r="AB62" s="34">
        <f t="shared" si="10"/>
        <v>0</v>
      </c>
    </row>
    <row r="63" spans="1:32" x14ac:dyDescent="0.25">
      <c r="A63" s="21"/>
      <c r="B63" s="21">
        <v>10212011</v>
      </c>
      <c r="C63" s="21" t="s">
        <v>84</v>
      </c>
      <c r="D63" s="21"/>
      <c r="E63" s="22">
        <v>1000</v>
      </c>
      <c r="F63" s="23" t="s">
        <v>175</v>
      </c>
      <c r="G63" s="5" t="s">
        <v>7</v>
      </c>
      <c r="H63" s="5" t="s">
        <v>19</v>
      </c>
      <c r="I63" s="5" t="s">
        <v>9</v>
      </c>
      <c r="J63" s="7">
        <v>3000</v>
      </c>
      <c r="K63" s="5"/>
      <c r="L63" s="5">
        <v>22000</v>
      </c>
      <c r="M63" s="5"/>
      <c r="N63" s="5" t="s">
        <v>175</v>
      </c>
      <c r="O63" s="6" t="s">
        <v>7</v>
      </c>
      <c r="P63" s="6" t="s">
        <v>19</v>
      </c>
      <c r="Q63" s="6" t="s">
        <v>9</v>
      </c>
      <c r="R63" s="6">
        <f t="shared" si="1"/>
        <v>22000</v>
      </c>
      <c r="S63" s="11">
        <v>5000</v>
      </c>
      <c r="T63" s="6"/>
      <c r="U63" s="41">
        <f t="shared" si="2"/>
        <v>0.22727272727272727</v>
      </c>
      <c r="V63" s="10">
        <f t="shared" si="3"/>
        <v>27000</v>
      </c>
      <c r="W63" s="30"/>
      <c r="X63" s="31" t="s">
        <v>175</v>
      </c>
      <c r="Y63" s="31" t="s">
        <v>7</v>
      </c>
      <c r="Z63" s="31" t="s">
        <v>19</v>
      </c>
      <c r="AA63" s="32" t="s">
        <v>9</v>
      </c>
      <c r="AB63" s="34">
        <f t="shared" si="10"/>
        <v>27000</v>
      </c>
      <c r="AC63" s="33">
        <v>5000</v>
      </c>
      <c r="AE63" s="40">
        <f t="shared" si="4"/>
        <v>0.18518518518518517</v>
      </c>
      <c r="AF63" s="31">
        <f t="shared" ref="AF63:AF72" si="12">V63+AC63</f>
        <v>32000</v>
      </c>
    </row>
    <row r="64" spans="1:32" x14ac:dyDescent="0.25">
      <c r="A64" s="21"/>
      <c r="B64" s="21">
        <v>10222012</v>
      </c>
      <c r="C64" s="24" t="str">
        <f>VLOOKUP(B64,[1]BTL!$C:$J,8,FALSE)</f>
        <v>Ashiqur Rahman Robin</v>
      </c>
      <c r="D64" s="24"/>
      <c r="E64" s="22">
        <v>1000</v>
      </c>
      <c r="F64" s="23" t="s">
        <v>175</v>
      </c>
      <c r="G64" s="5" t="s">
        <v>7</v>
      </c>
      <c r="H64" s="5" t="s">
        <v>19</v>
      </c>
      <c r="I64" s="5" t="s">
        <v>9</v>
      </c>
      <c r="J64" s="7">
        <v>3000</v>
      </c>
      <c r="K64" s="5"/>
      <c r="L64" s="5">
        <v>22000</v>
      </c>
      <c r="M64" s="5"/>
      <c r="N64" s="5" t="s">
        <v>175</v>
      </c>
      <c r="O64" s="6" t="s">
        <v>7</v>
      </c>
      <c r="P64" s="6" t="s">
        <v>188</v>
      </c>
      <c r="Q64" s="6" t="s">
        <v>9</v>
      </c>
      <c r="R64" s="6">
        <f t="shared" si="1"/>
        <v>22000</v>
      </c>
      <c r="S64" s="11">
        <v>8000</v>
      </c>
      <c r="T64" s="6"/>
      <c r="U64" s="41">
        <f t="shared" si="2"/>
        <v>0.36363636363636365</v>
      </c>
      <c r="V64" s="10">
        <f t="shared" si="3"/>
        <v>30000</v>
      </c>
      <c r="W64" s="30"/>
      <c r="X64" s="31" t="s">
        <v>175</v>
      </c>
      <c r="Y64" s="31" t="s">
        <v>7</v>
      </c>
      <c r="Z64" s="31" t="s">
        <v>19</v>
      </c>
      <c r="AA64" s="32" t="s">
        <v>9</v>
      </c>
      <c r="AB64" s="34">
        <f t="shared" si="10"/>
        <v>30000</v>
      </c>
      <c r="AC64" s="33">
        <v>5000</v>
      </c>
      <c r="AE64" s="40">
        <f t="shared" si="4"/>
        <v>0.16666666666666666</v>
      </c>
      <c r="AF64" s="31">
        <f t="shared" si="12"/>
        <v>35000</v>
      </c>
    </row>
    <row r="65" spans="1:32" x14ac:dyDescent="0.25">
      <c r="A65" s="21"/>
      <c r="B65" s="21">
        <v>10522014</v>
      </c>
      <c r="C65" s="21" t="s">
        <v>85</v>
      </c>
      <c r="D65" s="21"/>
      <c r="E65" s="22">
        <v>1000</v>
      </c>
      <c r="F65" s="23" t="s">
        <v>175</v>
      </c>
      <c r="G65" s="5" t="s">
        <v>7</v>
      </c>
      <c r="H65" s="5" t="s">
        <v>19</v>
      </c>
      <c r="I65" s="5" t="s">
        <v>9</v>
      </c>
      <c r="J65" s="7">
        <v>3000</v>
      </c>
      <c r="K65" s="5"/>
      <c r="L65" s="5">
        <v>20000</v>
      </c>
      <c r="M65" s="5"/>
      <c r="N65" s="5" t="s">
        <v>175</v>
      </c>
      <c r="O65" s="6" t="s">
        <v>7</v>
      </c>
      <c r="P65" s="6" t="s">
        <v>19</v>
      </c>
      <c r="Q65" s="6" t="s">
        <v>9</v>
      </c>
      <c r="R65" s="6">
        <f t="shared" si="1"/>
        <v>20000</v>
      </c>
      <c r="S65" s="11">
        <v>3000</v>
      </c>
      <c r="T65" s="6"/>
      <c r="U65" s="41">
        <f t="shared" si="2"/>
        <v>0.15</v>
      </c>
      <c r="V65" s="10">
        <f t="shared" si="3"/>
        <v>23000</v>
      </c>
      <c r="W65" s="30"/>
      <c r="X65" s="31" t="s">
        <v>175</v>
      </c>
      <c r="Y65" s="31" t="s">
        <v>7</v>
      </c>
      <c r="Z65" s="31" t="s">
        <v>19</v>
      </c>
      <c r="AA65" s="32" t="s">
        <v>9</v>
      </c>
      <c r="AB65" s="34">
        <f t="shared" si="10"/>
        <v>23000</v>
      </c>
      <c r="AC65" s="33">
        <v>5000</v>
      </c>
      <c r="AE65" s="40">
        <f t="shared" si="4"/>
        <v>0.21739130434782608</v>
      </c>
      <c r="AF65" s="31">
        <f t="shared" si="12"/>
        <v>28000</v>
      </c>
    </row>
    <row r="66" spans="1:32" x14ac:dyDescent="0.25">
      <c r="A66" s="21"/>
      <c r="B66" s="21">
        <v>20892017</v>
      </c>
      <c r="C66" s="21" t="s">
        <v>86</v>
      </c>
      <c r="D66" s="21"/>
      <c r="E66" s="22">
        <v>0</v>
      </c>
      <c r="F66" s="23" t="s">
        <v>175</v>
      </c>
      <c r="G66" s="5" t="s">
        <v>7</v>
      </c>
      <c r="H66" s="5" t="s">
        <v>19</v>
      </c>
      <c r="I66" s="5" t="s">
        <v>35</v>
      </c>
      <c r="J66" s="7">
        <v>3000</v>
      </c>
      <c r="K66" s="5"/>
      <c r="L66" s="5">
        <v>15000</v>
      </c>
      <c r="M66" s="5"/>
      <c r="N66" s="5" t="s">
        <v>175</v>
      </c>
      <c r="O66" s="6" t="s">
        <v>7</v>
      </c>
      <c r="P66" s="6" t="s">
        <v>19</v>
      </c>
      <c r="Q66" s="6" t="s">
        <v>35</v>
      </c>
      <c r="R66" s="6">
        <f t="shared" si="1"/>
        <v>15000</v>
      </c>
      <c r="S66" s="11">
        <v>5000</v>
      </c>
      <c r="T66" s="6"/>
      <c r="U66" s="41">
        <f t="shared" si="2"/>
        <v>0.33333333333333331</v>
      </c>
      <c r="V66" s="10">
        <f t="shared" si="3"/>
        <v>20000</v>
      </c>
      <c r="W66" s="30"/>
      <c r="X66" s="31" t="s">
        <v>175</v>
      </c>
      <c r="Y66" s="31" t="s">
        <v>7</v>
      </c>
      <c r="Z66" s="31" t="s">
        <v>19</v>
      </c>
      <c r="AA66" s="32" t="s">
        <v>35</v>
      </c>
      <c r="AB66" s="34">
        <f t="shared" si="10"/>
        <v>20000</v>
      </c>
      <c r="AC66" s="33">
        <v>5000</v>
      </c>
      <c r="AE66" s="40">
        <f t="shared" si="4"/>
        <v>0.25</v>
      </c>
      <c r="AF66" s="31">
        <f t="shared" si="12"/>
        <v>25000</v>
      </c>
    </row>
    <row r="67" spans="1:32" x14ac:dyDescent="0.25">
      <c r="A67" s="21"/>
      <c r="B67" s="21">
        <v>10602007</v>
      </c>
      <c r="C67" s="21" t="s">
        <v>87</v>
      </c>
      <c r="D67" s="21"/>
      <c r="E67" s="22">
        <v>1000</v>
      </c>
      <c r="F67" s="23" t="s">
        <v>175</v>
      </c>
      <c r="G67" s="5" t="s">
        <v>7</v>
      </c>
      <c r="H67" s="5" t="s">
        <v>19</v>
      </c>
      <c r="I67" s="5" t="s">
        <v>27</v>
      </c>
      <c r="J67" s="7">
        <v>2000</v>
      </c>
      <c r="K67" s="5"/>
      <c r="L67" s="5">
        <v>18000</v>
      </c>
      <c r="M67" s="5"/>
      <c r="N67" s="5" t="s">
        <v>175</v>
      </c>
      <c r="O67" s="6" t="s">
        <v>7</v>
      </c>
      <c r="P67" s="6" t="s">
        <v>19</v>
      </c>
      <c r="Q67" s="6" t="s">
        <v>9</v>
      </c>
      <c r="R67" s="6">
        <f t="shared" ref="R67:R130" si="13">V67-S67</f>
        <v>18000</v>
      </c>
      <c r="S67" s="11">
        <v>4000</v>
      </c>
      <c r="T67" s="6"/>
      <c r="U67" s="41">
        <f t="shared" ref="U67:U130" si="14">S67/R67</f>
        <v>0.22222222222222221</v>
      </c>
      <c r="V67" s="10">
        <f t="shared" si="3"/>
        <v>22000</v>
      </c>
      <c r="W67" s="30"/>
      <c r="X67" s="31" t="s">
        <v>175</v>
      </c>
      <c r="Y67" s="31" t="s">
        <v>7</v>
      </c>
      <c r="Z67" s="31" t="s">
        <v>19</v>
      </c>
      <c r="AA67" s="32" t="s">
        <v>9</v>
      </c>
      <c r="AB67" s="34">
        <f t="shared" ref="AB67:AB130" si="15">AF67-AC67</f>
        <v>22000</v>
      </c>
      <c r="AC67" s="33">
        <v>3000</v>
      </c>
      <c r="AE67" s="40">
        <f t="shared" ref="AE67:AE128" si="16">AC67/AB67</f>
        <v>0.13636363636363635</v>
      </c>
      <c r="AF67" s="31">
        <f t="shared" si="12"/>
        <v>25000</v>
      </c>
    </row>
    <row r="68" spans="1:32" x14ac:dyDescent="0.25">
      <c r="A68" s="21"/>
      <c r="B68" s="21">
        <v>21182018</v>
      </c>
      <c r="C68" s="21" t="s">
        <v>88</v>
      </c>
      <c r="D68" s="21"/>
      <c r="E68" s="22">
        <v>0</v>
      </c>
      <c r="F68" s="23" t="s">
        <v>175</v>
      </c>
      <c r="G68" s="5" t="s">
        <v>7</v>
      </c>
      <c r="H68" s="5" t="s">
        <v>19</v>
      </c>
      <c r="I68" s="5" t="s">
        <v>3</v>
      </c>
      <c r="J68" s="7">
        <v>2000</v>
      </c>
      <c r="K68" s="5"/>
      <c r="L68" s="5">
        <v>17000</v>
      </c>
      <c r="M68" s="5"/>
      <c r="N68" s="5" t="s">
        <v>175</v>
      </c>
      <c r="O68" s="6" t="s">
        <v>201</v>
      </c>
      <c r="P68" s="6" t="s">
        <v>19</v>
      </c>
      <c r="Q68" s="6" t="s">
        <v>3</v>
      </c>
      <c r="R68" s="6">
        <f t="shared" si="13"/>
        <v>17000</v>
      </c>
      <c r="S68" s="11">
        <v>4000</v>
      </c>
      <c r="T68" s="6"/>
      <c r="U68" s="41">
        <f t="shared" si="14"/>
        <v>0.23529411764705882</v>
      </c>
      <c r="V68" s="10">
        <f t="shared" si="3"/>
        <v>21000</v>
      </c>
      <c r="W68" s="30"/>
      <c r="X68" s="31" t="s">
        <v>175</v>
      </c>
      <c r="Y68" s="31" t="s">
        <v>201</v>
      </c>
      <c r="Z68" s="31" t="s">
        <v>19</v>
      </c>
      <c r="AA68" s="32" t="s">
        <v>3</v>
      </c>
      <c r="AB68" s="34">
        <f t="shared" si="15"/>
        <v>21000</v>
      </c>
      <c r="AC68" s="33">
        <v>5000</v>
      </c>
      <c r="AE68" s="40">
        <f t="shared" si="16"/>
        <v>0.23809523809523808</v>
      </c>
      <c r="AF68" s="31">
        <f t="shared" si="12"/>
        <v>26000</v>
      </c>
    </row>
    <row r="69" spans="1:32" x14ac:dyDescent="0.25">
      <c r="A69" s="21"/>
      <c r="B69" s="21">
        <v>10022004</v>
      </c>
      <c r="C69" s="21" t="s">
        <v>89</v>
      </c>
      <c r="D69" s="21"/>
      <c r="E69" s="22">
        <v>0</v>
      </c>
      <c r="F69" s="23" t="s">
        <v>175</v>
      </c>
      <c r="G69" s="5" t="s">
        <v>7</v>
      </c>
      <c r="H69" s="5" t="s">
        <v>19</v>
      </c>
      <c r="I69" s="5" t="s">
        <v>151</v>
      </c>
      <c r="J69" s="7">
        <v>0</v>
      </c>
      <c r="K69" s="5"/>
      <c r="L69" s="5">
        <v>175000</v>
      </c>
      <c r="M69" s="5"/>
      <c r="N69" s="5" t="s">
        <v>175</v>
      </c>
      <c r="O69" s="6" t="s">
        <v>7</v>
      </c>
      <c r="P69" s="6" t="s">
        <v>19</v>
      </c>
      <c r="Q69" s="6" t="s">
        <v>151</v>
      </c>
      <c r="R69" s="6">
        <f t="shared" si="13"/>
        <v>175000</v>
      </c>
      <c r="S69" s="11">
        <v>0</v>
      </c>
      <c r="T69" s="6"/>
      <c r="U69" s="41">
        <f t="shared" si="14"/>
        <v>0</v>
      </c>
      <c r="V69" s="10">
        <f t="shared" si="3"/>
        <v>175000</v>
      </c>
      <c r="W69" s="30"/>
      <c r="X69" s="31" t="s">
        <v>175</v>
      </c>
      <c r="Y69" s="31" t="s">
        <v>7</v>
      </c>
      <c r="Z69" s="31" t="s">
        <v>19</v>
      </c>
      <c r="AA69" s="32" t="s">
        <v>151</v>
      </c>
      <c r="AB69" s="34">
        <f t="shared" si="15"/>
        <v>175000</v>
      </c>
      <c r="AC69" s="33">
        <v>0</v>
      </c>
      <c r="AE69" s="40">
        <f t="shared" si="16"/>
        <v>0</v>
      </c>
      <c r="AF69" s="31">
        <f t="shared" si="12"/>
        <v>175000</v>
      </c>
    </row>
    <row r="70" spans="1:32" x14ac:dyDescent="0.25">
      <c r="A70" s="21"/>
      <c r="B70" s="21">
        <v>20102008</v>
      </c>
      <c r="C70" s="21" t="s">
        <v>90</v>
      </c>
      <c r="D70" s="21"/>
      <c r="E70" s="22">
        <v>5000</v>
      </c>
      <c r="F70" s="23" t="s">
        <v>175</v>
      </c>
      <c r="G70" s="5" t="s">
        <v>7</v>
      </c>
      <c r="H70" s="5" t="s">
        <v>19</v>
      </c>
      <c r="I70" s="5" t="s">
        <v>139</v>
      </c>
      <c r="J70" s="7">
        <v>10000</v>
      </c>
      <c r="K70" s="5"/>
      <c r="L70" s="5">
        <v>60000</v>
      </c>
      <c r="M70" s="5"/>
      <c r="N70" s="5" t="s">
        <v>175</v>
      </c>
      <c r="O70" s="6" t="s">
        <v>201</v>
      </c>
      <c r="P70" s="6" t="s">
        <v>19</v>
      </c>
      <c r="Q70" s="6" t="s">
        <v>139</v>
      </c>
      <c r="R70" s="6">
        <f t="shared" si="13"/>
        <v>60000</v>
      </c>
      <c r="S70" s="11">
        <v>5000</v>
      </c>
      <c r="T70" s="6"/>
      <c r="U70" s="41">
        <f t="shared" si="14"/>
        <v>8.3333333333333329E-2</v>
      </c>
      <c r="V70" s="10">
        <f t="shared" ref="V70:V128" si="17">L70+S70</f>
        <v>65000</v>
      </c>
      <c r="W70" s="30"/>
      <c r="X70" s="31" t="s">
        <v>175</v>
      </c>
      <c r="Y70" s="31" t="s">
        <v>201</v>
      </c>
      <c r="Z70" s="31" t="s">
        <v>19</v>
      </c>
      <c r="AA70" s="32" t="s">
        <v>130</v>
      </c>
      <c r="AB70" s="34">
        <f t="shared" si="15"/>
        <v>65000</v>
      </c>
      <c r="AC70" s="33">
        <v>12000</v>
      </c>
      <c r="AE70" s="40">
        <f t="shared" si="16"/>
        <v>0.18461538461538463</v>
      </c>
      <c r="AF70" s="31">
        <f t="shared" si="12"/>
        <v>77000</v>
      </c>
    </row>
    <row r="71" spans="1:32" x14ac:dyDescent="0.25">
      <c r="A71" s="21"/>
      <c r="B71" s="21">
        <v>20142012</v>
      </c>
      <c r="C71" s="21" t="s">
        <v>91</v>
      </c>
      <c r="D71" s="21"/>
      <c r="E71" s="22">
        <v>2000</v>
      </c>
      <c r="F71" s="23" t="s">
        <v>175</v>
      </c>
      <c r="G71" s="5" t="s">
        <v>7</v>
      </c>
      <c r="H71" s="5" t="s">
        <v>19</v>
      </c>
      <c r="I71" s="5" t="s">
        <v>3</v>
      </c>
      <c r="J71" s="7">
        <v>7000</v>
      </c>
      <c r="K71" s="5"/>
      <c r="L71" s="5">
        <v>35000</v>
      </c>
      <c r="M71" s="5"/>
      <c r="N71" s="5" t="s">
        <v>175</v>
      </c>
      <c r="O71" s="6" t="s">
        <v>7</v>
      </c>
      <c r="P71" s="6" t="s">
        <v>19</v>
      </c>
      <c r="Q71" s="6" t="s">
        <v>3</v>
      </c>
      <c r="R71" s="6">
        <f t="shared" si="13"/>
        <v>35000</v>
      </c>
      <c r="S71" s="11">
        <v>7000</v>
      </c>
      <c r="T71" s="6"/>
      <c r="U71" s="41">
        <f t="shared" si="14"/>
        <v>0.2</v>
      </c>
      <c r="V71" s="10">
        <f t="shared" si="17"/>
        <v>42000</v>
      </c>
      <c r="W71" s="30"/>
      <c r="X71" s="31" t="s">
        <v>175</v>
      </c>
      <c r="Y71" s="31" t="s">
        <v>7</v>
      </c>
      <c r="Z71" s="31" t="s">
        <v>19</v>
      </c>
      <c r="AA71" s="32" t="s">
        <v>3</v>
      </c>
      <c r="AB71" s="34">
        <f t="shared" si="15"/>
        <v>42000</v>
      </c>
      <c r="AC71" s="33">
        <v>10000</v>
      </c>
      <c r="AE71" s="40">
        <f t="shared" si="16"/>
        <v>0.23809523809523808</v>
      </c>
      <c r="AF71" s="31">
        <f t="shared" si="12"/>
        <v>52000</v>
      </c>
    </row>
    <row r="72" spans="1:32" x14ac:dyDescent="0.25">
      <c r="A72" s="21"/>
      <c r="B72" s="21">
        <v>21162017</v>
      </c>
      <c r="C72" s="21" t="s">
        <v>92</v>
      </c>
      <c r="D72" s="21"/>
      <c r="E72" s="22">
        <v>0</v>
      </c>
      <c r="F72" s="23" t="s">
        <v>175</v>
      </c>
      <c r="G72" s="5" t="s">
        <v>7</v>
      </c>
      <c r="H72" s="5" t="s">
        <v>19</v>
      </c>
      <c r="I72" s="5" t="s">
        <v>8</v>
      </c>
      <c r="J72" s="7">
        <v>5000</v>
      </c>
      <c r="K72" s="5"/>
      <c r="L72" s="5">
        <v>25000</v>
      </c>
      <c r="M72" s="5"/>
      <c r="N72" s="5" t="s">
        <v>175</v>
      </c>
      <c r="O72" s="6" t="s">
        <v>7</v>
      </c>
      <c r="P72" s="6" t="s">
        <v>19</v>
      </c>
      <c r="Q72" s="6" t="s">
        <v>8</v>
      </c>
      <c r="R72" s="6">
        <f t="shared" si="13"/>
        <v>25000</v>
      </c>
      <c r="S72" s="11">
        <v>5000</v>
      </c>
      <c r="T72" s="6"/>
      <c r="U72" s="41">
        <f t="shared" si="14"/>
        <v>0.2</v>
      </c>
      <c r="V72" s="10">
        <f t="shared" si="17"/>
        <v>30000</v>
      </c>
      <c r="W72" s="30"/>
      <c r="X72" s="31" t="s">
        <v>175</v>
      </c>
      <c r="Y72" s="31" t="s">
        <v>7</v>
      </c>
      <c r="Z72" s="31" t="s">
        <v>19</v>
      </c>
      <c r="AA72" s="32" t="s">
        <v>8</v>
      </c>
      <c r="AB72" s="34">
        <f t="shared" si="15"/>
        <v>30000</v>
      </c>
      <c r="AC72" s="33">
        <v>5000</v>
      </c>
      <c r="AE72" s="40">
        <f t="shared" si="16"/>
        <v>0.16666666666666666</v>
      </c>
      <c r="AF72" s="31">
        <f t="shared" si="12"/>
        <v>35000</v>
      </c>
    </row>
    <row r="73" spans="1:32" x14ac:dyDescent="0.25">
      <c r="A73" s="21"/>
      <c r="B73" s="21">
        <v>20762016</v>
      </c>
      <c r="C73" s="21" t="s">
        <v>150</v>
      </c>
      <c r="D73" s="21"/>
      <c r="E73" s="22">
        <v>3000</v>
      </c>
      <c r="F73" s="23" t="s">
        <v>175</v>
      </c>
      <c r="G73" s="5" t="s">
        <v>7</v>
      </c>
      <c r="H73" s="5" t="s">
        <v>19</v>
      </c>
      <c r="I73" s="5" t="s">
        <v>9</v>
      </c>
      <c r="J73" s="7">
        <v>5000</v>
      </c>
      <c r="K73" s="5" t="s">
        <v>6</v>
      </c>
      <c r="L73" s="5">
        <v>25000</v>
      </c>
      <c r="M73" s="5"/>
      <c r="N73" s="5" t="s">
        <v>175</v>
      </c>
      <c r="O73" s="6" t="s">
        <v>7</v>
      </c>
      <c r="P73" s="6" t="s">
        <v>19</v>
      </c>
      <c r="Q73" s="6" t="s">
        <v>6</v>
      </c>
      <c r="R73" s="6">
        <f t="shared" si="13"/>
        <v>25000</v>
      </c>
      <c r="S73" s="11">
        <v>7000</v>
      </c>
      <c r="T73" s="6"/>
      <c r="U73" s="41">
        <f t="shared" si="14"/>
        <v>0.28000000000000003</v>
      </c>
      <c r="V73" s="10">
        <f t="shared" si="17"/>
        <v>32000</v>
      </c>
      <c r="W73" s="30"/>
      <c r="AB73" s="34">
        <f t="shared" si="15"/>
        <v>0</v>
      </c>
    </row>
    <row r="74" spans="1:32" x14ac:dyDescent="0.25">
      <c r="A74" s="21"/>
      <c r="B74" s="21">
        <v>11262018</v>
      </c>
      <c r="C74" s="21" t="s">
        <v>186</v>
      </c>
      <c r="D74" s="21"/>
      <c r="E74" s="22">
        <v>0</v>
      </c>
      <c r="F74" s="23" t="s">
        <v>174</v>
      </c>
      <c r="G74" s="5" t="s">
        <v>174</v>
      </c>
      <c r="H74" s="5" t="s">
        <v>174</v>
      </c>
      <c r="I74" s="5" t="s">
        <v>174</v>
      </c>
      <c r="J74" s="7">
        <v>0</v>
      </c>
      <c r="K74" s="5" t="s">
        <v>174</v>
      </c>
      <c r="L74" s="5">
        <v>0</v>
      </c>
      <c r="M74" s="5"/>
      <c r="N74" s="5" t="s">
        <v>175</v>
      </c>
      <c r="O74" s="6" t="s">
        <v>7</v>
      </c>
      <c r="P74" s="6" t="s">
        <v>19</v>
      </c>
      <c r="Q74" s="6" t="s">
        <v>8</v>
      </c>
      <c r="R74" s="6">
        <f t="shared" si="13"/>
        <v>15000</v>
      </c>
      <c r="S74" s="11">
        <v>5000</v>
      </c>
      <c r="T74" s="6"/>
      <c r="U74" s="41">
        <f t="shared" si="14"/>
        <v>0.33333333333333331</v>
      </c>
      <c r="V74" s="10">
        <v>20000</v>
      </c>
      <c r="W74" s="30"/>
      <c r="X74" s="31" t="s">
        <v>175</v>
      </c>
      <c r="Y74" s="31" t="s">
        <v>201</v>
      </c>
      <c r="Z74" s="31" t="s">
        <v>19</v>
      </c>
      <c r="AA74" s="32" t="s">
        <v>8</v>
      </c>
      <c r="AB74" s="34">
        <f t="shared" si="15"/>
        <v>20000</v>
      </c>
      <c r="AC74" s="33">
        <v>6000</v>
      </c>
      <c r="AE74" s="40">
        <f t="shared" si="16"/>
        <v>0.3</v>
      </c>
      <c r="AF74" s="31">
        <f>V74+AC74</f>
        <v>26000</v>
      </c>
    </row>
    <row r="75" spans="1:32" x14ac:dyDescent="0.25">
      <c r="A75" s="21"/>
      <c r="B75" s="21">
        <v>11132018</v>
      </c>
      <c r="C75" s="21" t="s">
        <v>185</v>
      </c>
      <c r="D75" s="21"/>
      <c r="E75" s="22">
        <v>0</v>
      </c>
      <c r="F75" s="23" t="s">
        <v>174</v>
      </c>
      <c r="G75" s="5" t="s">
        <v>174</v>
      </c>
      <c r="H75" s="5" t="s">
        <v>174</v>
      </c>
      <c r="I75" s="5" t="s">
        <v>174</v>
      </c>
      <c r="J75" s="7">
        <v>0</v>
      </c>
      <c r="K75" s="5" t="s">
        <v>174</v>
      </c>
      <c r="L75" s="5">
        <v>0</v>
      </c>
      <c r="M75" s="5"/>
      <c r="N75" s="5" t="s">
        <v>175</v>
      </c>
      <c r="O75" s="6" t="s">
        <v>7</v>
      </c>
      <c r="P75" s="6" t="s">
        <v>19</v>
      </c>
      <c r="Q75" s="6" t="s">
        <v>4</v>
      </c>
      <c r="R75" s="6">
        <f t="shared" si="13"/>
        <v>35000</v>
      </c>
      <c r="S75" s="11">
        <v>4000</v>
      </c>
      <c r="T75" s="6"/>
      <c r="U75" s="41">
        <f t="shared" si="14"/>
        <v>0.11428571428571428</v>
      </c>
      <c r="V75" s="10">
        <v>39000</v>
      </c>
      <c r="W75" s="30"/>
      <c r="X75" s="31" t="s">
        <v>175</v>
      </c>
      <c r="Y75" s="31" t="s">
        <v>7</v>
      </c>
      <c r="Z75" s="31" t="s">
        <v>19</v>
      </c>
      <c r="AA75" s="32" t="s">
        <v>4</v>
      </c>
      <c r="AB75" s="34">
        <f t="shared" si="15"/>
        <v>39000</v>
      </c>
      <c r="AC75" s="33">
        <v>6000</v>
      </c>
      <c r="AE75" s="40">
        <f t="shared" si="16"/>
        <v>0.15384615384615385</v>
      </c>
      <c r="AF75" s="31">
        <f>V75+AC75</f>
        <v>45000</v>
      </c>
    </row>
    <row r="76" spans="1:32" x14ac:dyDescent="0.25">
      <c r="A76" s="21"/>
      <c r="B76" s="21">
        <v>10182011</v>
      </c>
      <c r="C76" s="21" t="s">
        <v>152</v>
      </c>
      <c r="D76" s="21"/>
      <c r="E76" s="22">
        <v>3000</v>
      </c>
      <c r="F76" s="23" t="s">
        <v>175</v>
      </c>
      <c r="G76" s="5" t="s">
        <v>7</v>
      </c>
      <c r="H76" s="5" t="s">
        <v>19</v>
      </c>
      <c r="I76" s="5" t="s">
        <v>9</v>
      </c>
      <c r="J76" s="7">
        <v>6000</v>
      </c>
      <c r="K76" s="5"/>
      <c r="L76" s="5">
        <v>34000</v>
      </c>
      <c r="M76" s="5"/>
      <c r="N76" s="5" t="s">
        <v>175</v>
      </c>
      <c r="O76" s="6" t="s">
        <v>7</v>
      </c>
      <c r="P76" s="6" t="s">
        <v>131</v>
      </c>
      <c r="Q76" s="6" t="s">
        <v>9</v>
      </c>
      <c r="R76" s="6">
        <f t="shared" si="13"/>
        <v>34000</v>
      </c>
      <c r="S76" s="11">
        <v>6000</v>
      </c>
      <c r="T76" s="6"/>
      <c r="U76" s="41">
        <f t="shared" si="14"/>
        <v>0.17647058823529413</v>
      </c>
      <c r="V76" s="10">
        <f t="shared" si="17"/>
        <v>40000</v>
      </c>
      <c r="W76" s="30"/>
      <c r="X76" s="31" t="s">
        <v>175</v>
      </c>
      <c r="Y76" s="31" t="s">
        <v>7</v>
      </c>
      <c r="Z76" s="31" t="s">
        <v>131</v>
      </c>
      <c r="AA76" s="32" t="s">
        <v>9</v>
      </c>
      <c r="AB76" s="34">
        <f t="shared" si="15"/>
        <v>40000</v>
      </c>
      <c r="AC76" s="33">
        <v>10000</v>
      </c>
      <c r="AE76" s="40">
        <f t="shared" si="16"/>
        <v>0.25</v>
      </c>
      <c r="AF76" s="31">
        <f>V76+AC76</f>
        <v>50000</v>
      </c>
    </row>
    <row r="77" spans="1:32" x14ac:dyDescent="0.25">
      <c r="A77" s="21"/>
      <c r="B77" s="21">
        <v>20542015</v>
      </c>
      <c r="C77" s="21" t="s">
        <v>153</v>
      </c>
      <c r="D77" s="21"/>
      <c r="E77" s="22">
        <v>2000</v>
      </c>
      <c r="F77" s="23" t="s">
        <v>175</v>
      </c>
      <c r="G77" s="5" t="s">
        <v>7</v>
      </c>
      <c r="H77" s="5" t="s">
        <v>19</v>
      </c>
      <c r="I77" s="5" t="s">
        <v>9</v>
      </c>
      <c r="J77" s="7">
        <v>5000</v>
      </c>
      <c r="K77" s="5"/>
      <c r="L77" s="5">
        <v>27000</v>
      </c>
      <c r="M77" s="5"/>
      <c r="N77" s="5"/>
      <c r="O77" s="6"/>
      <c r="P77" s="6"/>
      <c r="Q77" s="6"/>
      <c r="R77" s="6"/>
      <c r="S77" s="11"/>
      <c r="T77" s="6"/>
      <c r="U77" s="41"/>
      <c r="V77" s="10">
        <f t="shared" si="17"/>
        <v>27000</v>
      </c>
      <c r="W77" s="30"/>
      <c r="AB77" s="34">
        <f t="shared" si="15"/>
        <v>0</v>
      </c>
    </row>
    <row r="78" spans="1:32" x14ac:dyDescent="0.25">
      <c r="A78" s="21"/>
      <c r="B78" s="21">
        <v>10152009</v>
      </c>
      <c r="C78" s="21" t="s">
        <v>93</v>
      </c>
      <c r="D78" s="21"/>
      <c r="E78" s="22">
        <v>1000</v>
      </c>
      <c r="F78" s="23" t="s">
        <v>175</v>
      </c>
      <c r="G78" s="5" t="s">
        <v>7</v>
      </c>
      <c r="H78" s="5" t="s">
        <v>19</v>
      </c>
      <c r="I78" s="5" t="s">
        <v>9</v>
      </c>
      <c r="J78" s="7">
        <v>4000</v>
      </c>
      <c r="K78" s="5"/>
      <c r="L78" s="5">
        <v>29000</v>
      </c>
      <c r="M78" s="5"/>
      <c r="N78" s="5" t="s">
        <v>175</v>
      </c>
      <c r="O78" s="6" t="s">
        <v>7</v>
      </c>
      <c r="P78" s="6" t="s">
        <v>19</v>
      </c>
      <c r="Q78" s="6" t="s">
        <v>9</v>
      </c>
      <c r="R78" s="6">
        <f t="shared" si="13"/>
        <v>29000</v>
      </c>
      <c r="S78" s="11">
        <v>6000</v>
      </c>
      <c r="T78" s="6"/>
      <c r="U78" s="41">
        <f t="shared" si="14"/>
        <v>0.20689655172413793</v>
      </c>
      <c r="V78" s="10">
        <f t="shared" si="17"/>
        <v>35000</v>
      </c>
      <c r="W78" s="30"/>
      <c r="X78" s="31" t="s">
        <v>175</v>
      </c>
      <c r="Y78" s="31" t="s">
        <v>7</v>
      </c>
      <c r="Z78" s="31" t="s">
        <v>19</v>
      </c>
      <c r="AA78" s="32" t="s">
        <v>9</v>
      </c>
      <c r="AB78" s="34">
        <f t="shared" si="15"/>
        <v>35000</v>
      </c>
      <c r="AC78" s="33">
        <v>5000</v>
      </c>
      <c r="AE78" s="40">
        <f t="shared" si="16"/>
        <v>0.14285714285714285</v>
      </c>
      <c r="AF78" s="31">
        <f>V78+AC78</f>
        <v>40000</v>
      </c>
    </row>
    <row r="79" spans="1:32" x14ac:dyDescent="0.25">
      <c r="A79" s="21"/>
      <c r="B79" s="21">
        <v>20162010</v>
      </c>
      <c r="C79" s="21" t="s">
        <v>94</v>
      </c>
      <c r="D79" s="21"/>
      <c r="E79" s="22">
        <v>2000</v>
      </c>
      <c r="F79" s="23" t="s">
        <v>175</v>
      </c>
      <c r="G79" s="5" t="s">
        <v>7</v>
      </c>
      <c r="H79" s="5" t="s">
        <v>19</v>
      </c>
      <c r="I79" s="5" t="s">
        <v>3</v>
      </c>
      <c r="J79" s="7">
        <v>4000</v>
      </c>
      <c r="K79" s="5"/>
      <c r="L79" s="5">
        <v>31000</v>
      </c>
      <c r="M79" s="5"/>
      <c r="N79" s="5" t="s">
        <v>175</v>
      </c>
      <c r="O79" s="6" t="s">
        <v>7</v>
      </c>
      <c r="P79" s="6" t="s">
        <v>19</v>
      </c>
      <c r="Q79" s="6" t="s">
        <v>3</v>
      </c>
      <c r="R79" s="6">
        <f t="shared" si="13"/>
        <v>31000</v>
      </c>
      <c r="S79" s="11">
        <v>5000</v>
      </c>
      <c r="T79" s="6"/>
      <c r="U79" s="41">
        <f t="shared" si="14"/>
        <v>0.16129032258064516</v>
      </c>
      <c r="V79" s="10">
        <f t="shared" si="17"/>
        <v>36000</v>
      </c>
      <c r="W79" s="30"/>
      <c r="X79" s="31" t="s">
        <v>175</v>
      </c>
      <c r="Y79" s="31" t="s">
        <v>7</v>
      </c>
      <c r="Z79" s="31" t="s">
        <v>19</v>
      </c>
      <c r="AA79" s="32" t="s">
        <v>3</v>
      </c>
      <c r="AB79" s="34">
        <f t="shared" si="15"/>
        <v>36000</v>
      </c>
      <c r="AC79" s="33">
        <v>5000</v>
      </c>
      <c r="AE79" s="40">
        <f t="shared" si="16"/>
        <v>0.1388888888888889</v>
      </c>
      <c r="AF79" s="31">
        <f>V79+AC79</f>
        <v>41000</v>
      </c>
    </row>
    <row r="80" spans="1:32" x14ac:dyDescent="0.25">
      <c r="A80" s="21"/>
      <c r="B80" s="21">
        <v>10812016</v>
      </c>
      <c r="C80" s="21" t="s">
        <v>154</v>
      </c>
      <c r="D80" s="21"/>
      <c r="E80" s="22">
        <v>0</v>
      </c>
      <c r="F80" s="23" t="s">
        <v>175</v>
      </c>
      <c r="G80" s="5" t="s">
        <v>7</v>
      </c>
      <c r="H80" s="5" t="s">
        <v>19</v>
      </c>
      <c r="I80" s="5" t="s">
        <v>6</v>
      </c>
      <c r="J80" s="7">
        <v>6000</v>
      </c>
      <c r="K80" s="5"/>
      <c r="L80" s="5">
        <v>16000</v>
      </c>
      <c r="M80" s="5"/>
      <c r="N80" s="5"/>
      <c r="O80" s="6"/>
      <c r="P80" s="6"/>
      <c r="Q80" s="6"/>
      <c r="R80" s="6"/>
      <c r="S80" s="11"/>
      <c r="T80" s="6"/>
      <c r="U80" s="41"/>
      <c r="V80" s="10">
        <f t="shared" si="17"/>
        <v>16000</v>
      </c>
      <c r="W80" s="30"/>
      <c r="AB80" s="34">
        <f t="shared" si="15"/>
        <v>0</v>
      </c>
    </row>
    <row r="81" spans="1:32" x14ac:dyDescent="0.25">
      <c r="A81" s="21"/>
      <c r="B81" s="21">
        <v>20822016</v>
      </c>
      <c r="C81" s="21" t="s">
        <v>95</v>
      </c>
      <c r="D81" s="21"/>
      <c r="E81" s="22">
        <v>0</v>
      </c>
      <c r="F81" s="23" t="s">
        <v>175</v>
      </c>
      <c r="G81" s="5" t="s">
        <v>7</v>
      </c>
      <c r="H81" s="5" t="s">
        <v>19</v>
      </c>
      <c r="I81" s="5" t="s">
        <v>6</v>
      </c>
      <c r="J81" s="7">
        <v>5000</v>
      </c>
      <c r="K81" s="5"/>
      <c r="L81" s="5">
        <v>17000</v>
      </c>
      <c r="M81" s="5"/>
      <c r="N81" s="5" t="s">
        <v>175</v>
      </c>
      <c r="O81" s="6" t="s">
        <v>7</v>
      </c>
      <c r="P81" s="6" t="s">
        <v>19</v>
      </c>
      <c r="Q81" s="6" t="s">
        <v>6</v>
      </c>
      <c r="R81" s="6">
        <f t="shared" si="13"/>
        <v>17000</v>
      </c>
      <c r="S81" s="11">
        <v>5000</v>
      </c>
      <c r="T81" s="6"/>
      <c r="U81" s="41">
        <f t="shared" si="14"/>
        <v>0.29411764705882354</v>
      </c>
      <c r="V81" s="10">
        <f t="shared" si="17"/>
        <v>22000</v>
      </c>
      <c r="W81" s="30"/>
      <c r="X81" s="31" t="s">
        <v>175</v>
      </c>
      <c r="Y81" s="31" t="s">
        <v>7</v>
      </c>
      <c r="Z81" s="31" t="s">
        <v>19</v>
      </c>
      <c r="AA81" s="32" t="s">
        <v>6</v>
      </c>
      <c r="AB81" s="34">
        <f t="shared" si="15"/>
        <v>22000</v>
      </c>
      <c r="AC81" s="33">
        <v>5000</v>
      </c>
      <c r="AE81" s="40">
        <f t="shared" si="16"/>
        <v>0.22727272727272727</v>
      </c>
      <c r="AF81" s="31">
        <f t="shared" ref="AF81:AF89" si="18">V81+AC81</f>
        <v>27000</v>
      </c>
    </row>
    <row r="82" spans="1:32" x14ac:dyDescent="0.25">
      <c r="A82" s="21"/>
      <c r="B82" s="21">
        <v>21222018</v>
      </c>
      <c r="C82" s="21" t="s">
        <v>96</v>
      </c>
      <c r="D82" s="21"/>
      <c r="E82" s="22">
        <v>0</v>
      </c>
      <c r="F82" s="23" t="s">
        <v>175</v>
      </c>
      <c r="G82" s="5" t="s">
        <v>7</v>
      </c>
      <c r="H82" s="5" t="s">
        <v>19</v>
      </c>
      <c r="I82" s="5" t="s">
        <v>8</v>
      </c>
      <c r="J82" s="7">
        <v>3000</v>
      </c>
      <c r="K82" s="5"/>
      <c r="L82" s="5">
        <v>23000</v>
      </c>
      <c r="M82" s="5"/>
      <c r="N82" s="5" t="s">
        <v>175</v>
      </c>
      <c r="O82" s="6" t="s">
        <v>7</v>
      </c>
      <c r="P82" s="6" t="s">
        <v>19</v>
      </c>
      <c r="Q82" s="6" t="s">
        <v>8</v>
      </c>
      <c r="R82" s="6">
        <f t="shared" si="13"/>
        <v>23000</v>
      </c>
      <c r="S82" s="11">
        <v>5000</v>
      </c>
      <c r="T82" s="6"/>
      <c r="U82" s="41">
        <f t="shared" si="14"/>
        <v>0.21739130434782608</v>
      </c>
      <c r="V82" s="10">
        <f t="shared" si="17"/>
        <v>28000</v>
      </c>
      <c r="W82" s="30"/>
      <c r="X82" s="31" t="s">
        <v>175</v>
      </c>
      <c r="Y82" s="31" t="s">
        <v>7</v>
      </c>
      <c r="Z82" s="31" t="s">
        <v>19</v>
      </c>
      <c r="AA82" s="32" t="s">
        <v>8</v>
      </c>
      <c r="AB82" s="34">
        <f t="shared" si="15"/>
        <v>28000</v>
      </c>
      <c r="AC82" s="33">
        <v>5000</v>
      </c>
      <c r="AE82" s="40">
        <f t="shared" si="16"/>
        <v>0.17857142857142858</v>
      </c>
      <c r="AF82" s="31">
        <f t="shared" si="18"/>
        <v>33000</v>
      </c>
    </row>
    <row r="83" spans="1:32" x14ac:dyDescent="0.25">
      <c r="A83" s="21"/>
      <c r="B83" s="21">
        <v>21282018</v>
      </c>
      <c r="C83" s="21" t="s">
        <v>97</v>
      </c>
      <c r="D83" s="21"/>
      <c r="E83" s="22">
        <v>0</v>
      </c>
      <c r="F83" s="23" t="s">
        <v>175</v>
      </c>
      <c r="G83" s="5" t="s">
        <v>7</v>
      </c>
      <c r="H83" s="5" t="s">
        <v>19</v>
      </c>
      <c r="I83" s="5" t="s">
        <v>8</v>
      </c>
      <c r="J83" s="7">
        <v>3000</v>
      </c>
      <c r="K83" s="5"/>
      <c r="L83" s="5">
        <v>18000</v>
      </c>
      <c r="M83" s="5"/>
      <c r="N83" s="5" t="s">
        <v>175</v>
      </c>
      <c r="O83" s="6" t="s">
        <v>7</v>
      </c>
      <c r="P83" s="6" t="s">
        <v>19</v>
      </c>
      <c r="Q83" s="6" t="s">
        <v>8</v>
      </c>
      <c r="R83" s="6">
        <f t="shared" si="13"/>
        <v>18000</v>
      </c>
      <c r="S83" s="11">
        <v>7000</v>
      </c>
      <c r="T83" s="6"/>
      <c r="U83" s="41">
        <f t="shared" si="14"/>
        <v>0.3888888888888889</v>
      </c>
      <c r="V83" s="10">
        <f t="shared" si="17"/>
        <v>25000</v>
      </c>
      <c r="W83" s="30"/>
      <c r="X83" s="31" t="s">
        <v>175</v>
      </c>
      <c r="Y83" s="31" t="s">
        <v>7</v>
      </c>
      <c r="Z83" s="31" t="s">
        <v>19</v>
      </c>
      <c r="AA83" s="32" t="s">
        <v>8</v>
      </c>
      <c r="AB83" s="34">
        <f t="shared" si="15"/>
        <v>25000</v>
      </c>
      <c r="AC83" s="33">
        <v>5000</v>
      </c>
      <c r="AE83" s="40">
        <f t="shared" si="16"/>
        <v>0.2</v>
      </c>
      <c r="AF83" s="31">
        <f t="shared" si="18"/>
        <v>30000</v>
      </c>
    </row>
    <row r="84" spans="1:32" x14ac:dyDescent="0.25">
      <c r="A84" s="21"/>
      <c r="B84" s="21">
        <v>20462013</v>
      </c>
      <c r="C84" s="21" t="s">
        <v>98</v>
      </c>
      <c r="D84" s="21"/>
      <c r="E84" s="22">
        <v>1000</v>
      </c>
      <c r="F84" s="23" t="s">
        <v>175</v>
      </c>
      <c r="G84" s="5" t="s">
        <v>7</v>
      </c>
      <c r="H84" s="5" t="s">
        <v>19</v>
      </c>
      <c r="I84" s="5" t="s">
        <v>9</v>
      </c>
      <c r="J84" s="7">
        <v>3000</v>
      </c>
      <c r="K84" s="5"/>
      <c r="L84" s="5">
        <v>20000</v>
      </c>
      <c r="M84" s="5"/>
      <c r="N84" s="5" t="s">
        <v>175</v>
      </c>
      <c r="O84" s="6" t="s">
        <v>7</v>
      </c>
      <c r="P84" s="6" t="s">
        <v>19</v>
      </c>
      <c r="Q84" s="6" t="s">
        <v>9</v>
      </c>
      <c r="R84" s="6">
        <f t="shared" si="13"/>
        <v>20000</v>
      </c>
      <c r="S84" s="11">
        <v>4000</v>
      </c>
      <c r="T84" s="6"/>
      <c r="U84" s="41">
        <f t="shared" si="14"/>
        <v>0.2</v>
      </c>
      <c r="V84" s="10">
        <f t="shared" si="17"/>
        <v>24000</v>
      </c>
      <c r="W84" s="30"/>
      <c r="X84" s="31" t="s">
        <v>175</v>
      </c>
      <c r="Y84" s="31" t="s">
        <v>7</v>
      </c>
      <c r="Z84" s="31" t="s">
        <v>19</v>
      </c>
      <c r="AA84" s="32" t="s">
        <v>9</v>
      </c>
      <c r="AB84" s="34">
        <f t="shared" si="15"/>
        <v>24000</v>
      </c>
      <c r="AC84" s="33">
        <v>6000</v>
      </c>
      <c r="AE84" s="40">
        <f t="shared" si="16"/>
        <v>0.25</v>
      </c>
      <c r="AF84" s="31">
        <f t="shared" si="18"/>
        <v>30000</v>
      </c>
    </row>
    <row r="85" spans="1:32" x14ac:dyDescent="0.25">
      <c r="A85" s="21"/>
      <c r="B85" s="21">
        <v>10412012</v>
      </c>
      <c r="C85" s="21" t="s">
        <v>99</v>
      </c>
      <c r="D85" s="21"/>
      <c r="E85" s="22">
        <v>1000</v>
      </c>
      <c r="F85" s="23" t="s">
        <v>175</v>
      </c>
      <c r="G85" s="5" t="s">
        <v>7</v>
      </c>
      <c r="H85" s="5" t="s">
        <v>19</v>
      </c>
      <c r="I85" s="5" t="s">
        <v>9</v>
      </c>
      <c r="J85" s="7">
        <v>3000</v>
      </c>
      <c r="K85" s="5"/>
      <c r="L85" s="5">
        <v>21000</v>
      </c>
      <c r="M85" s="5"/>
      <c r="N85" s="5" t="s">
        <v>175</v>
      </c>
      <c r="O85" s="6" t="s">
        <v>7</v>
      </c>
      <c r="P85" s="6" t="s">
        <v>19</v>
      </c>
      <c r="Q85" s="6" t="s">
        <v>9</v>
      </c>
      <c r="R85" s="6">
        <f t="shared" si="13"/>
        <v>21000</v>
      </c>
      <c r="S85" s="11">
        <v>4000</v>
      </c>
      <c r="T85" s="6"/>
      <c r="U85" s="41">
        <f t="shared" si="14"/>
        <v>0.19047619047619047</v>
      </c>
      <c r="V85" s="10">
        <f t="shared" si="17"/>
        <v>25000</v>
      </c>
      <c r="W85" s="30"/>
      <c r="X85" s="31" t="s">
        <v>175</v>
      </c>
      <c r="Y85" s="31" t="s">
        <v>7</v>
      </c>
      <c r="Z85" s="31" t="s">
        <v>19</v>
      </c>
      <c r="AA85" s="32" t="s">
        <v>9</v>
      </c>
      <c r="AB85" s="34">
        <f t="shared" si="15"/>
        <v>25000</v>
      </c>
      <c r="AC85" s="33">
        <v>5000</v>
      </c>
      <c r="AE85" s="40">
        <f t="shared" si="16"/>
        <v>0.2</v>
      </c>
      <c r="AF85" s="31">
        <f t="shared" si="18"/>
        <v>30000</v>
      </c>
    </row>
    <row r="86" spans="1:32" x14ac:dyDescent="0.25">
      <c r="A86" s="21"/>
      <c r="B86" s="21">
        <v>11042018</v>
      </c>
      <c r="C86" s="21" t="s">
        <v>187</v>
      </c>
      <c r="D86" s="21"/>
      <c r="E86" s="22">
        <v>0</v>
      </c>
      <c r="F86" s="23" t="s">
        <v>174</v>
      </c>
      <c r="G86" s="5" t="s">
        <v>174</v>
      </c>
      <c r="H86" s="5" t="s">
        <v>174</v>
      </c>
      <c r="I86" s="5" t="s">
        <v>174</v>
      </c>
      <c r="J86" s="7">
        <v>0</v>
      </c>
      <c r="K86" s="5" t="s">
        <v>174</v>
      </c>
      <c r="L86" s="5">
        <v>0</v>
      </c>
      <c r="M86" s="5"/>
      <c r="N86" s="5" t="s">
        <v>175</v>
      </c>
      <c r="O86" s="6" t="s">
        <v>7</v>
      </c>
      <c r="P86" s="6" t="s">
        <v>19</v>
      </c>
      <c r="Q86" s="6" t="s">
        <v>130</v>
      </c>
      <c r="R86" s="6">
        <f t="shared" si="13"/>
        <v>70000</v>
      </c>
      <c r="S86" s="11">
        <v>5000</v>
      </c>
      <c r="T86" s="6"/>
      <c r="U86" s="41">
        <f t="shared" si="14"/>
        <v>7.1428571428571425E-2</v>
      </c>
      <c r="V86" s="10">
        <v>75000</v>
      </c>
      <c r="W86" s="30"/>
      <c r="X86" s="31" t="s">
        <v>175</v>
      </c>
      <c r="Y86" s="31" t="s">
        <v>7</v>
      </c>
      <c r="Z86" s="31" t="s">
        <v>19</v>
      </c>
      <c r="AA86" s="32" t="s">
        <v>130</v>
      </c>
      <c r="AB86" s="34">
        <f t="shared" si="15"/>
        <v>75000</v>
      </c>
      <c r="AC86" s="33">
        <v>7000</v>
      </c>
      <c r="AE86" s="40">
        <f t="shared" si="16"/>
        <v>9.3333333333333338E-2</v>
      </c>
      <c r="AF86" s="31">
        <f t="shared" si="18"/>
        <v>82000</v>
      </c>
    </row>
    <row r="87" spans="1:32" x14ac:dyDescent="0.25">
      <c r="A87" s="21"/>
      <c r="B87" s="21">
        <v>11122018</v>
      </c>
      <c r="C87" s="21" t="s">
        <v>189</v>
      </c>
      <c r="D87" s="21"/>
      <c r="E87" s="22">
        <v>0</v>
      </c>
      <c r="F87" s="23" t="s">
        <v>174</v>
      </c>
      <c r="G87" s="5" t="s">
        <v>174</v>
      </c>
      <c r="H87" s="5" t="s">
        <v>174</v>
      </c>
      <c r="I87" s="5" t="s">
        <v>174</v>
      </c>
      <c r="J87" s="7">
        <v>0</v>
      </c>
      <c r="K87" s="5" t="s">
        <v>174</v>
      </c>
      <c r="L87" s="5">
        <v>0</v>
      </c>
      <c r="M87" s="5"/>
      <c r="N87" s="5" t="s">
        <v>175</v>
      </c>
      <c r="O87" s="6" t="s">
        <v>7</v>
      </c>
      <c r="P87" s="6" t="s">
        <v>19</v>
      </c>
      <c r="Q87" s="6" t="s">
        <v>8</v>
      </c>
      <c r="R87" s="6">
        <f t="shared" si="13"/>
        <v>18000</v>
      </c>
      <c r="S87" s="11">
        <v>4000</v>
      </c>
      <c r="T87" s="6"/>
      <c r="U87" s="41">
        <f t="shared" si="14"/>
        <v>0.22222222222222221</v>
      </c>
      <c r="V87" s="10">
        <v>22000</v>
      </c>
      <c r="W87" s="30"/>
      <c r="X87" s="31" t="s">
        <v>175</v>
      </c>
      <c r="Y87" s="31" t="s">
        <v>7</v>
      </c>
      <c r="Z87" s="31" t="s">
        <v>19</v>
      </c>
      <c r="AA87" s="32" t="s">
        <v>8</v>
      </c>
      <c r="AB87" s="34">
        <f t="shared" si="15"/>
        <v>22000</v>
      </c>
      <c r="AC87" s="33">
        <v>8000</v>
      </c>
      <c r="AE87" s="40">
        <f t="shared" si="16"/>
        <v>0.36363636363636365</v>
      </c>
      <c r="AF87" s="31">
        <f t="shared" si="18"/>
        <v>30000</v>
      </c>
    </row>
    <row r="88" spans="1:32" x14ac:dyDescent="0.25">
      <c r="A88" s="21"/>
      <c r="B88" s="21">
        <v>11252018</v>
      </c>
      <c r="C88" s="21" t="s">
        <v>190</v>
      </c>
      <c r="D88" s="21"/>
      <c r="E88" s="22">
        <v>0</v>
      </c>
      <c r="F88" s="23" t="s">
        <v>174</v>
      </c>
      <c r="G88" s="5" t="s">
        <v>174</v>
      </c>
      <c r="H88" s="5" t="s">
        <v>174</v>
      </c>
      <c r="I88" s="5" t="s">
        <v>174</v>
      </c>
      <c r="J88" s="7">
        <v>0</v>
      </c>
      <c r="K88" s="5" t="s">
        <v>174</v>
      </c>
      <c r="L88" s="5">
        <v>0</v>
      </c>
      <c r="M88" s="5"/>
      <c r="N88" s="5" t="s">
        <v>175</v>
      </c>
      <c r="O88" s="6" t="s">
        <v>7</v>
      </c>
      <c r="P88" s="6" t="s">
        <v>19</v>
      </c>
      <c r="Q88" s="6" t="s">
        <v>8</v>
      </c>
      <c r="R88" s="6">
        <f t="shared" si="13"/>
        <v>15000</v>
      </c>
      <c r="S88" s="11">
        <v>5000</v>
      </c>
      <c r="T88" s="6"/>
      <c r="U88" s="41">
        <f t="shared" si="14"/>
        <v>0.33333333333333331</v>
      </c>
      <c r="V88" s="10">
        <v>20000</v>
      </c>
      <c r="W88" s="30"/>
      <c r="X88" s="31" t="s">
        <v>175</v>
      </c>
      <c r="Y88" s="31" t="s">
        <v>7</v>
      </c>
      <c r="Z88" s="31" t="s">
        <v>19</v>
      </c>
      <c r="AA88" s="32" t="s">
        <v>8</v>
      </c>
      <c r="AB88" s="34">
        <f t="shared" si="15"/>
        <v>20000</v>
      </c>
      <c r="AC88" s="33">
        <v>5000</v>
      </c>
      <c r="AE88" s="40">
        <f t="shared" si="16"/>
        <v>0.25</v>
      </c>
      <c r="AF88" s="31">
        <f t="shared" si="18"/>
        <v>25000</v>
      </c>
    </row>
    <row r="89" spans="1:32" x14ac:dyDescent="0.25">
      <c r="A89" s="21"/>
      <c r="B89" s="21">
        <v>10702016</v>
      </c>
      <c r="C89" s="21" t="s">
        <v>100</v>
      </c>
      <c r="D89" s="21"/>
      <c r="E89" s="22">
        <v>5000</v>
      </c>
      <c r="F89" s="23" t="s">
        <v>175</v>
      </c>
      <c r="G89" s="5" t="s">
        <v>7</v>
      </c>
      <c r="H89" s="5" t="s">
        <v>19</v>
      </c>
      <c r="I89" s="5" t="s">
        <v>6</v>
      </c>
      <c r="J89" s="7">
        <v>4000</v>
      </c>
      <c r="K89" s="5"/>
      <c r="L89" s="5">
        <v>24000</v>
      </c>
      <c r="M89" s="5"/>
      <c r="N89" s="5" t="s">
        <v>175</v>
      </c>
      <c r="O89" s="6" t="s">
        <v>201</v>
      </c>
      <c r="P89" s="6" t="s">
        <v>138</v>
      </c>
      <c r="Q89" s="6" t="s">
        <v>3</v>
      </c>
      <c r="R89" s="6">
        <f t="shared" si="13"/>
        <v>24000</v>
      </c>
      <c r="S89" s="11">
        <v>4000</v>
      </c>
      <c r="T89" s="6"/>
      <c r="U89" s="41">
        <f t="shared" si="14"/>
        <v>0.16666666666666666</v>
      </c>
      <c r="V89" s="10">
        <f t="shared" si="17"/>
        <v>28000</v>
      </c>
      <c r="W89" s="30"/>
      <c r="X89" s="31" t="s">
        <v>175</v>
      </c>
      <c r="Y89" s="31" t="s">
        <v>201</v>
      </c>
      <c r="Z89" s="31" t="s">
        <v>138</v>
      </c>
      <c r="AA89" s="32" t="s">
        <v>3</v>
      </c>
      <c r="AB89" s="34">
        <f t="shared" si="15"/>
        <v>28000</v>
      </c>
      <c r="AC89" s="33">
        <v>7000</v>
      </c>
      <c r="AE89" s="40">
        <f t="shared" si="16"/>
        <v>0.25</v>
      </c>
      <c r="AF89" s="31">
        <f t="shared" si="18"/>
        <v>35000</v>
      </c>
    </row>
    <row r="90" spans="1:32" x14ac:dyDescent="0.25">
      <c r="A90" s="21"/>
      <c r="B90" s="21">
        <v>10122006</v>
      </c>
      <c r="C90" s="21" t="s">
        <v>155</v>
      </c>
      <c r="D90" s="21"/>
      <c r="E90" s="22">
        <v>0</v>
      </c>
      <c r="F90" s="23" t="s">
        <v>175</v>
      </c>
      <c r="G90" s="5" t="s">
        <v>7</v>
      </c>
      <c r="H90" s="5" t="s">
        <v>19</v>
      </c>
      <c r="I90" s="5" t="s">
        <v>3</v>
      </c>
      <c r="J90" s="7">
        <v>4000</v>
      </c>
      <c r="K90" s="5"/>
      <c r="L90" s="5">
        <v>39000</v>
      </c>
      <c r="M90" s="5"/>
      <c r="N90" s="5" t="s">
        <v>175</v>
      </c>
      <c r="O90" s="6" t="s">
        <v>201</v>
      </c>
      <c r="P90" s="6" t="s">
        <v>19</v>
      </c>
      <c r="Q90" s="6" t="s">
        <v>3</v>
      </c>
      <c r="R90" s="6">
        <f t="shared" si="13"/>
        <v>39000</v>
      </c>
      <c r="S90" s="11">
        <v>3000</v>
      </c>
      <c r="T90" s="6"/>
      <c r="U90" s="41">
        <f t="shared" si="14"/>
        <v>7.6923076923076927E-2</v>
      </c>
      <c r="V90" s="10">
        <f t="shared" si="17"/>
        <v>42000</v>
      </c>
      <c r="W90" s="30"/>
      <c r="X90" s="31" t="s">
        <v>174</v>
      </c>
      <c r="AB90" s="34">
        <f t="shared" si="15"/>
        <v>0</v>
      </c>
    </row>
    <row r="91" spans="1:32" x14ac:dyDescent="0.25">
      <c r="A91" s="21"/>
      <c r="B91" s="21">
        <v>20652014</v>
      </c>
      <c r="C91" s="25" t="s">
        <v>156</v>
      </c>
      <c r="D91" s="25"/>
      <c r="E91" s="22">
        <v>10000</v>
      </c>
      <c r="F91" s="23" t="s">
        <v>175</v>
      </c>
      <c r="G91" s="5" t="s">
        <v>7</v>
      </c>
      <c r="H91" s="5" t="s">
        <v>18</v>
      </c>
      <c r="I91" s="5" t="s">
        <v>17</v>
      </c>
      <c r="J91" s="7">
        <v>40000</v>
      </c>
      <c r="K91" s="5"/>
      <c r="L91" s="5">
        <v>150000</v>
      </c>
      <c r="M91" s="5"/>
      <c r="N91" s="5"/>
      <c r="O91" s="6"/>
      <c r="P91" s="6"/>
      <c r="Q91" s="6"/>
      <c r="R91" s="6"/>
      <c r="S91" s="11"/>
      <c r="T91" s="6"/>
      <c r="U91" s="41"/>
      <c r="V91" s="10">
        <f t="shared" si="17"/>
        <v>150000</v>
      </c>
      <c r="W91" s="30"/>
      <c r="AB91" s="34">
        <f t="shared" si="15"/>
        <v>0</v>
      </c>
    </row>
    <row r="92" spans="1:32" x14ac:dyDescent="0.25">
      <c r="A92" s="21"/>
      <c r="B92" s="21">
        <v>20702016</v>
      </c>
      <c r="C92" s="21" t="s">
        <v>157</v>
      </c>
      <c r="D92" s="21"/>
      <c r="E92" s="22">
        <v>0</v>
      </c>
      <c r="F92" s="23" t="s">
        <v>175</v>
      </c>
      <c r="G92" s="5" t="s">
        <v>7</v>
      </c>
      <c r="H92" s="5" t="s">
        <v>18</v>
      </c>
      <c r="I92" s="5" t="s">
        <v>9</v>
      </c>
      <c r="J92" s="7">
        <v>0</v>
      </c>
      <c r="K92" s="5"/>
      <c r="L92" s="5">
        <v>120000</v>
      </c>
      <c r="M92" s="5"/>
      <c r="N92" s="5"/>
      <c r="O92" s="6"/>
      <c r="P92" s="6"/>
      <c r="Q92" s="6"/>
      <c r="R92" s="6"/>
      <c r="S92" s="11"/>
      <c r="T92" s="6"/>
      <c r="U92" s="41"/>
      <c r="V92" s="10">
        <f t="shared" si="17"/>
        <v>120000</v>
      </c>
      <c r="W92" s="30"/>
      <c r="X92" s="31" t="s">
        <v>174</v>
      </c>
      <c r="AB92" s="34">
        <f t="shared" si="15"/>
        <v>0</v>
      </c>
    </row>
    <row r="93" spans="1:32" x14ac:dyDescent="0.25">
      <c r="A93" s="21"/>
      <c r="B93" s="21">
        <v>10672016</v>
      </c>
      <c r="C93" s="21" t="s">
        <v>158</v>
      </c>
      <c r="D93" s="21"/>
      <c r="E93" s="22">
        <v>0</v>
      </c>
      <c r="F93" s="23" t="s">
        <v>175</v>
      </c>
      <c r="G93" s="5" t="s">
        <v>7</v>
      </c>
      <c r="H93" s="5" t="s">
        <v>20</v>
      </c>
      <c r="I93" s="5" t="s">
        <v>21</v>
      </c>
      <c r="J93" s="7">
        <v>2000</v>
      </c>
      <c r="K93" s="5"/>
      <c r="L93" s="5">
        <v>42000</v>
      </c>
      <c r="M93" s="5"/>
      <c r="N93" s="5"/>
      <c r="O93" s="6"/>
      <c r="P93" s="6"/>
      <c r="Q93" s="6"/>
      <c r="R93" s="6"/>
      <c r="S93" s="11"/>
      <c r="T93" s="6"/>
      <c r="U93" s="41"/>
      <c r="V93" s="10">
        <f t="shared" si="17"/>
        <v>42000</v>
      </c>
      <c r="W93" s="30"/>
      <c r="X93" s="31" t="s">
        <v>174</v>
      </c>
      <c r="AB93" s="34">
        <f t="shared" si="15"/>
        <v>0</v>
      </c>
    </row>
    <row r="94" spans="1:32" x14ac:dyDescent="0.25">
      <c r="A94" s="21"/>
      <c r="B94" s="21">
        <v>10081999</v>
      </c>
      <c r="C94" s="21" t="s">
        <v>101</v>
      </c>
      <c r="D94" s="21"/>
      <c r="E94" s="22">
        <v>2000</v>
      </c>
      <c r="F94" s="23" t="s">
        <v>175</v>
      </c>
      <c r="G94" s="5" t="s">
        <v>7</v>
      </c>
      <c r="H94" s="5" t="s">
        <v>20</v>
      </c>
      <c r="I94" s="5" t="s">
        <v>9</v>
      </c>
      <c r="J94" s="7">
        <v>2000</v>
      </c>
      <c r="K94" s="5"/>
      <c r="L94" s="5">
        <v>52000</v>
      </c>
      <c r="M94" s="5"/>
      <c r="N94" s="5" t="s">
        <v>175</v>
      </c>
      <c r="O94" s="6" t="s">
        <v>7</v>
      </c>
      <c r="P94" s="6" t="s">
        <v>276</v>
      </c>
      <c r="Q94" s="6" t="s">
        <v>9</v>
      </c>
      <c r="R94" s="6">
        <f t="shared" si="13"/>
        <v>52000</v>
      </c>
      <c r="S94" s="11">
        <v>3000</v>
      </c>
      <c r="T94" s="6"/>
      <c r="U94" s="41">
        <f t="shared" si="14"/>
        <v>5.7692307692307696E-2</v>
      </c>
      <c r="V94" s="10">
        <f t="shared" si="17"/>
        <v>55000</v>
      </c>
      <c r="W94" s="30"/>
      <c r="X94" s="31" t="s">
        <v>175</v>
      </c>
      <c r="Y94" s="31" t="s">
        <v>7</v>
      </c>
      <c r="Z94" s="31" t="s">
        <v>19</v>
      </c>
      <c r="AA94" s="32" t="s">
        <v>9</v>
      </c>
      <c r="AB94" s="34">
        <f t="shared" si="15"/>
        <v>55000</v>
      </c>
      <c r="AC94" s="33">
        <v>7000</v>
      </c>
      <c r="AE94" s="40">
        <f t="shared" si="16"/>
        <v>0.12727272727272726</v>
      </c>
      <c r="AF94" s="31">
        <f>V94+AC94</f>
        <v>62000</v>
      </c>
    </row>
    <row r="95" spans="1:32" x14ac:dyDescent="0.25">
      <c r="A95" s="21"/>
      <c r="B95" s="21">
        <v>20912016</v>
      </c>
      <c r="C95" s="21" t="s">
        <v>102</v>
      </c>
      <c r="D95" s="21"/>
      <c r="E95" s="22">
        <v>5000</v>
      </c>
      <c r="F95" s="23" t="s">
        <v>175</v>
      </c>
      <c r="G95" s="5" t="s">
        <v>7</v>
      </c>
      <c r="H95" s="5" t="s">
        <v>20</v>
      </c>
      <c r="I95" s="5" t="s">
        <v>3</v>
      </c>
      <c r="J95" s="7">
        <v>2000</v>
      </c>
      <c r="K95" s="5"/>
      <c r="L95" s="5">
        <v>35000</v>
      </c>
      <c r="M95" s="5"/>
      <c r="N95" s="5" t="s">
        <v>175</v>
      </c>
      <c r="O95" s="6" t="s">
        <v>7</v>
      </c>
      <c r="P95" s="6" t="s">
        <v>276</v>
      </c>
      <c r="Q95" s="6" t="s">
        <v>3</v>
      </c>
      <c r="R95" s="6">
        <f t="shared" si="13"/>
        <v>35000</v>
      </c>
      <c r="S95" s="11">
        <v>7000</v>
      </c>
      <c r="T95" s="6"/>
      <c r="U95" s="41">
        <f t="shared" si="14"/>
        <v>0.2</v>
      </c>
      <c r="V95" s="10">
        <f t="shared" si="17"/>
        <v>42000</v>
      </c>
      <c r="W95" s="30"/>
      <c r="X95" s="31" t="s">
        <v>175</v>
      </c>
      <c r="Y95" s="31" t="s">
        <v>7</v>
      </c>
      <c r="Z95" s="31" t="s">
        <v>276</v>
      </c>
      <c r="AA95" s="32" t="s">
        <v>130</v>
      </c>
      <c r="AB95" s="34">
        <f t="shared" si="15"/>
        <v>42000</v>
      </c>
      <c r="AC95" s="33">
        <v>15000</v>
      </c>
      <c r="AE95" s="40">
        <f t="shared" si="16"/>
        <v>0.35714285714285715</v>
      </c>
      <c r="AF95" s="31">
        <f>V95+AC95</f>
        <v>57000</v>
      </c>
    </row>
    <row r="96" spans="1:32" ht="12" customHeight="1" x14ac:dyDescent="0.25">
      <c r="A96" s="21"/>
      <c r="B96" s="21">
        <v>10962017</v>
      </c>
      <c r="C96" s="21" t="s">
        <v>22</v>
      </c>
      <c r="D96" s="21"/>
      <c r="E96" s="22">
        <v>0</v>
      </c>
      <c r="F96" s="23" t="s">
        <v>175</v>
      </c>
      <c r="G96" s="5" t="s">
        <v>7</v>
      </c>
      <c r="H96" s="5" t="s">
        <v>20</v>
      </c>
      <c r="I96" s="5" t="s">
        <v>5</v>
      </c>
      <c r="J96" s="7">
        <v>0</v>
      </c>
      <c r="K96" s="5"/>
      <c r="L96" s="5">
        <v>55000</v>
      </c>
      <c r="M96" s="5"/>
      <c r="N96" s="5" t="s">
        <v>174</v>
      </c>
      <c r="O96" s="6" t="s">
        <v>174</v>
      </c>
      <c r="P96" s="6" t="s">
        <v>174</v>
      </c>
      <c r="Q96" s="6" t="s">
        <v>174</v>
      </c>
      <c r="R96" s="6">
        <f t="shared" si="13"/>
        <v>0</v>
      </c>
      <c r="S96" s="11">
        <v>0</v>
      </c>
      <c r="T96" s="6" t="s">
        <v>174</v>
      </c>
      <c r="U96" s="41"/>
      <c r="V96" s="10">
        <v>0</v>
      </c>
      <c r="W96" s="30"/>
      <c r="X96" s="31" t="s">
        <v>174</v>
      </c>
      <c r="AB96" s="34">
        <f t="shared" si="15"/>
        <v>0</v>
      </c>
    </row>
    <row r="97" spans="1:32" x14ac:dyDescent="0.25">
      <c r="A97" s="21"/>
      <c r="B97" s="21">
        <v>11242018</v>
      </c>
      <c r="C97" s="21" t="s">
        <v>196</v>
      </c>
      <c r="D97" s="21"/>
      <c r="E97" s="22">
        <v>0</v>
      </c>
      <c r="F97" s="23" t="s">
        <v>174</v>
      </c>
      <c r="G97" s="5" t="s">
        <v>174</v>
      </c>
      <c r="H97" s="5" t="s">
        <v>174</v>
      </c>
      <c r="I97" s="5" t="s">
        <v>174</v>
      </c>
      <c r="J97" s="7">
        <v>0</v>
      </c>
      <c r="K97" s="5" t="s">
        <v>174</v>
      </c>
      <c r="L97" s="5">
        <v>0</v>
      </c>
      <c r="M97" s="5"/>
      <c r="N97" s="5" t="s">
        <v>175</v>
      </c>
      <c r="O97" s="6" t="s">
        <v>7</v>
      </c>
      <c r="P97" s="6" t="s">
        <v>195</v>
      </c>
      <c r="Q97" s="6" t="s">
        <v>184</v>
      </c>
      <c r="R97" s="6">
        <f t="shared" si="13"/>
        <v>40000</v>
      </c>
      <c r="S97" s="11">
        <v>0</v>
      </c>
      <c r="T97" s="6"/>
      <c r="U97" s="41">
        <f t="shared" si="14"/>
        <v>0</v>
      </c>
      <c r="V97" s="10">
        <v>40000</v>
      </c>
      <c r="W97" s="30"/>
      <c r="X97" s="31" t="s">
        <v>175</v>
      </c>
      <c r="Y97" s="31" t="s">
        <v>7</v>
      </c>
      <c r="Z97" s="31" t="s">
        <v>276</v>
      </c>
      <c r="AA97" s="32" t="s">
        <v>21</v>
      </c>
      <c r="AB97" s="34">
        <f t="shared" si="15"/>
        <v>40000</v>
      </c>
      <c r="AC97" s="33">
        <v>5000</v>
      </c>
      <c r="AE97" s="40">
        <f t="shared" si="16"/>
        <v>0.125</v>
      </c>
      <c r="AF97" s="31">
        <f>V97+AC97</f>
        <v>45000</v>
      </c>
    </row>
    <row r="98" spans="1:32" x14ac:dyDescent="0.25">
      <c r="A98" s="21"/>
      <c r="B98" s="21">
        <v>11002017</v>
      </c>
      <c r="C98" s="21" t="s">
        <v>23</v>
      </c>
      <c r="D98" s="21"/>
      <c r="E98" s="22">
        <v>0</v>
      </c>
      <c r="F98" s="23" t="s">
        <v>175</v>
      </c>
      <c r="G98" s="5" t="s">
        <v>7</v>
      </c>
      <c r="H98" s="5" t="s">
        <v>20</v>
      </c>
      <c r="I98" s="5" t="s">
        <v>21</v>
      </c>
      <c r="J98" s="7">
        <v>0</v>
      </c>
      <c r="K98" s="5"/>
      <c r="L98" s="5">
        <v>40000</v>
      </c>
      <c r="M98" s="5"/>
      <c r="N98" s="5" t="s">
        <v>174</v>
      </c>
      <c r="O98" s="6" t="s">
        <v>174</v>
      </c>
      <c r="P98" s="6" t="s">
        <v>174</v>
      </c>
      <c r="Q98" s="6" t="s">
        <v>174</v>
      </c>
      <c r="R98" s="6">
        <f t="shared" si="13"/>
        <v>0</v>
      </c>
      <c r="S98" s="11">
        <v>0</v>
      </c>
      <c r="T98" s="6" t="s">
        <v>174</v>
      </c>
      <c r="U98" s="41"/>
      <c r="V98" s="10">
        <v>0</v>
      </c>
      <c r="W98" s="30"/>
      <c r="X98" s="31" t="s">
        <v>174</v>
      </c>
      <c r="AB98" s="34">
        <f t="shared" si="15"/>
        <v>0</v>
      </c>
    </row>
    <row r="99" spans="1:32" x14ac:dyDescent="0.25">
      <c r="A99" s="21"/>
      <c r="B99" s="21">
        <v>10172019</v>
      </c>
      <c r="C99" s="21" t="s">
        <v>24</v>
      </c>
      <c r="D99" s="21"/>
      <c r="E99" s="22">
        <v>3000</v>
      </c>
      <c r="F99" s="23" t="s">
        <v>175</v>
      </c>
      <c r="G99" s="5" t="s">
        <v>7</v>
      </c>
      <c r="H99" s="5" t="s">
        <v>20</v>
      </c>
      <c r="I99" s="5" t="s">
        <v>25</v>
      </c>
      <c r="J99" s="7">
        <v>4000</v>
      </c>
      <c r="K99" s="5"/>
      <c r="L99" s="5">
        <v>37000</v>
      </c>
      <c r="M99" s="5"/>
      <c r="N99" s="5" t="s">
        <v>175</v>
      </c>
      <c r="O99" s="6" t="s">
        <v>7</v>
      </c>
      <c r="P99" s="6" t="s">
        <v>20</v>
      </c>
      <c r="Q99" s="6" t="s">
        <v>9</v>
      </c>
      <c r="R99" s="6">
        <f t="shared" si="13"/>
        <v>37000</v>
      </c>
      <c r="S99" s="11">
        <v>3000</v>
      </c>
      <c r="T99" s="6"/>
      <c r="U99" s="41">
        <f t="shared" si="14"/>
        <v>8.1081081081081086E-2</v>
      </c>
      <c r="V99" s="10">
        <f t="shared" si="17"/>
        <v>40000</v>
      </c>
      <c r="W99" s="30"/>
      <c r="X99" s="31" t="s">
        <v>174</v>
      </c>
      <c r="AB99" s="34">
        <f t="shared" si="15"/>
        <v>0</v>
      </c>
    </row>
    <row r="100" spans="1:32" x14ac:dyDescent="0.25">
      <c r="A100" s="21"/>
      <c r="B100" s="21">
        <v>20862017</v>
      </c>
      <c r="C100" s="21" t="s">
        <v>103</v>
      </c>
      <c r="D100" s="21"/>
      <c r="E100" s="22">
        <v>0</v>
      </c>
      <c r="F100" s="23" t="s">
        <v>175</v>
      </c>
      <c r="G100" s="5" t="s">
        <v>7</v>
      </c>
      <c r="H100" s="5" t="s">
        <v>20</v>
      </c>
      <c r="I100" s="5" t="s">
        <v>9</v>
      </c>
      <c r="J100" s="7">
        <v>3000</v>
      </c>
      <c r="K100" s="5"/>
      <c r="L100" s="5">
        <v>18000</v>
      </c>
      <c r="M100" s="5"/>
      <c r="N100" s="5" t="s">
        <v>175</v>
      </c>
      <c r="O100" s="6" t="s">
        <v>7</v>
      </c>
      <c r="P100" s="6" t="s">
        <v>20</v>
      </c>
      <c r="Q100" s="6" t="s">
        <v>9</v>
      </c>
      <c r="R100" s="6">
        <f t="shared" si="13"/>
        <v>18000</v>
      </c>
      <c r="S100" s="11">
        <v>6000</v>
      </c>
      <c r="T100" s="6"/>
      <c r="U100" s="41">
        <f t="shared" si="14"/>
        <v>0.33333333333333331</v>
      </c>
      <c r="V100" s="10">
        <f t="shared" si="17"/>
        <v>24000</v>
      </c>
      <c r="W100" s="30"/>
      <c r="X100" s="31" t="s">
        <v>175</v>
      </c>
      <c r="Y100" s="31" t="s">
        <v>7</v>
      </c>
      <c r="Z100" s="31" t="s">
        <v>20</v>
      </c>
      <c r="AA100" s="32" t="s">
        <v>9</v>
      </c>
      <c r="AB100" s="34">
        <f t="shared" si="15"/>
        <v>24000</v>
      </c>
      <c r="AC100" s="33">
        <v>6000</v>
      </c>
      <c r="AE100" s="40">
        <f t="shared" si="16"/>
        <v>0.25</v>
      </c>
      <c r="AF100" s="31">
        <f>V100+AC100</f>
        <v>30000</v>
      </c>
    </row>
    <row r="101" spans="1:32" x14ac:dyDescent="0.25">
      <c r="A101" s="21"/>
      <c r="B101" s="21">
        <v>21062016</v>
      </c>
      <c r="C101" s="21" t="s">
        <v>104</v>
      </c>
      <c r="D101" s="21"/>
      <c r="E101" s="22">
        <v>1000</v>
      </c>
      <c r="F101" s="23" t="s">
        <v>175</v>
      </c>
      <c r="G101" s="5" t="s">
        <v>7</v>
      </c>
      <c r="H101" s="5" t="s">
        <v>20</v>
      </c>
      <c r="I101" s="5" t="s">
        <v>26</v>
      </c>
      <c r="J101" s="7">
        <v>2000</v>
      </c>
      <c r="K101" s="5"/>
      <c r="L101" s="5">
        <v>18000</v>
      </c>
      <c r="M101" s="5"/>
      <c r="N101" s="5" t="s">
        <v>175</v>
      </c>
      <c r="O101" s="6" t="s">
        <v>7</v>
      </c>
      <c r="P101" s="6" t="s">
        <v>20</v>
      </c>
      <c r="Q101" s="6" t="s">
        <v>26</v>
      </c>
      <c r="R101" s="6">
        <f t="shared" si="13"/>
        <v>18000</v>
      </c>
      <c r="S101" s="11">
        <v>4000</v>
      </c>
      <c r="T101" s="6"/>
      <c r="U101" s="41">
        <f t="shared" si="14"/>
        <v>0.22222222222222221</v>
      </c>
      <c r="V101" s="10">
        <f t="shared" si="17"/>
        <v>22000</v>
      </c>
      <c r="W101" s="30"/>
      <c r="X101" s="31" t="s">
        <v>175</v>
      </c>
      <c r="Y101" s="31" t="s">
        <v>7</v>
      </c>
      <c r="Z101" s="31" t="s">
        <v>20</v>
      </c>
      <c r="AA101" s="32" t="s">
        <v>26</v>
      </c>
      <c r="AB101" s="34">
        <f t="shared" si="15"/>
        <v>22000</v>
      </c>
      <c r="AC101" s="33">
        <v>7000</v>
      </c>
      <c r="AE101" s="40">
        <f t="shared" si="16"/>
        <v>0.31818181818181818</v>
      </c>
      <c r="AF101" s="31">
        <f>V101+AC101</f>
        <v>29000</v>
      </c>
    </row>
    <row r="102" spans="1:32" x14ac:dyDescent="0.25">
      <c r="A102" s="21"/>
      <c r="B102" s="21">
        <v>11272018</v>
      </c>
      <c r="C102" s="21" t="s">
        <v>191</v>
      </c>
      <c r="D102" s="21"/>
      <c r="E102" s="22">
        <v>0</v>
      </c>
      <c r="F102" s="23" t="s">
        <v>174</v>
      </c>
      <c r="G102" s="5" t="s">
        <v>174</v>
      </c>
      <c r="H102" s="5" t="s">
        <v>174</v>
      </c>
      <c r="I102" s="5" t="s">
        <v>174</v>
      </c>
      <c r="J102" s="7">
        <v>0</v>
      </c>
      <c r="K102" s="5" t="s">
        <v>174</v>
      </c>
      <c r="L102" s="5">
        <v>0</v>
      </c>
      <c r="M102" s="5"/>
      <c r="N102" s="5" t="s">
        <v>175</v>
      </c>
      <c r="O102" s="6" t="s">
        <v>7</v>
      </c>
      <c r="P102" s="6" t="s">
        <v>19</v>
      </c>
      <c r="Q102" s="6" t="s">
        <v>192</v>
      </c>
      <c r="R102" s="6">
        <f t="shared" si="13"/>
        <v>15000</v>
      </c>
      <c r="S102" s="11">
        <v>5000</v>
      </c>
      <c r="T102" s="6"/>
      <c r="U102" s="41">
        <f t="shared" si="14"/>
        <v>0.33333333333333331</v>
      </c>
      <c r="V102" s="10">
        <v>20000</v>
      </c>
      <c r="W102" s="30"/>
      <c r="X102" s="31" t="s">
        <v>175</v>
      </c>
      <c r="Y102" s="31" t="s">
        <v>201</v>
      </c>
      <c r="Z102" s="31" t="s">
        <v>32</v>
      </c>
      <c r="AA102" s="32" t="s">
        <v>3</v>
      </c>
      <c r="AB102" s="34">
        <f t="shared" si="15"/>
        <v>20000</v>
      </c>
      <c r="AC102" s="33">
        <v>5000</v>
      </c>
      <c r="AE102" s="40">
        <f t="shared" si="16"/>
        <v>0.25</v>
      </c>
      <c r="AF102" s="31">
        <f>V102+AC102</f>
        <v>25000</v>
      </c>
    </row>
    <row r="103" spans="1:32" x14ac:dyDescent="0.25">
      <c r="A103" s="21"/>
      <c r="B103" s="21">
        <v>21102017</v>
      </c>
      <c r="C103" s="21" t="s">
        <v>105</v>
      </c>
      <c r="D103" s="21"/>
      <c r="E103" s="22">
        <v>0</v>
      </c>
      <c r="F103" s="23" t="s">
        <v>175</v>
      </c>
      <c r="G103" s="5" t="s">
        <v>7</v>
      </c>
      <c r="H103" s="5" t="s">
        <v>20</v>
      </c>
      <c r="I103" s="5" t="s">
        <v>26</v>
      </c>
      <c r="J103" s="7">
        <v>0</v>
      </c>
      <c r="K103" s="5"/>
      <c r="L103" s="5">
        <v>12000</v>
      </c>
      <c r="M103" s="5"/>
      <c r="N103" s="5" t="s">
        <v>175</v>
      </c>
      <c r="O103" s="6" t="s">
        <v>7</v>
      </c>
      <c r="P103" s="6" t="s">
        <v>19</v>
      </c>
      <c r="Q103" s="6" t="s">
        <v>9</v>
      </c>
      <c r="R103" s="6">
        <f t="shared" si="13"/>
        <v>12000</v>
      </c>
      <c r="S103" s="11">
        <v>5000</v>
      </c>
      <c r="T103" s="6"/>
      <c r="U103" s="41">
        <f t="shared" si="14"/>
        <v>0.41666666666666669</v>
      </c>
      <c r="V103" s="10">
        <f t="shared" si="17"/>
        <v>17000</v>
      </c>
      <c r="W103" s="30"/>
      <c r="X103" s="31" t="s">
        <v>175</v>
      </c>
      <c r="Y103" s="31" t="s">
        <v>7</v>
      </c>
      <c r="Z103" s="31" t="s">
        <v>19</v>
      </c>
      <c r="AA103" s="32" t="s">
        <v>9</v>
      </c>
      <c r="AB103" s="34">
        <f t="shared" si="15"/>
        <v>17000</v>
      </c>
      <c r="AC103" s="33">
        <v>7000</v>
      </c>
      <c r="AE103" s="40">
        <f t="shared" si="16"/>
        <v>0.41176470588235292</v>
      </c>
      <c r="AF103" s="31">
        <f>V103+AC103</f>
        <v>24000</v>
      </c>
    </row>
    <row r="104" spans="1:32" x14ac:dyDescent="0.25">
      <c r="A104" s="21"/>
      <c r="B104" s="21">
        <v>20402006</v>
      </c>
      <c r="C104" s="21" t="s">
        <v>106</v>
      </c>
      <c r="D104" s="21"/>
      <c r="E104" s="22">
        <v>0</v>
      </c>
      <c r="F104" s="23" t="s">
        <v>175</v>
      </c>
      <c r="G104" s="5" t="s">
        <v>7</v>
      </c>
      <c r="H104" s="5" t="s">
        <v>20</v>
      </c>
      <c r="I104" s="5" t="s">
        <v>27</v>
      </c>
      <c r="J104" s="7">
        <v>0</v>
      </c>
      <c r="K104" s="5"/>
      <c r="L104" s="5">
        <v>16000</v>
      </c>
      <c r="M104" s="5"/>
      <c r="N104" s="5" t="s">
        <v>175</v>
      </c>
      <c r="O104" s="6" t="s">
        <v>7</v>
      </c>
      <c r="P104" s="6" t="s">
        <v>20</v>
      </c>
      <c r="Q104" s="6" t="s">
        <v>27</v>
      </c>
      <c r="R104" s="6">
        <f t="shared" si="13"/>
        <v>16000</v>
      </c>
      <c r="S104" s="11">
        <v>2000</v>
      </c>
      <c r="T104" s="6"/>
      <c r="U104" s="41">
        <f t="shared" si="14"/>
        <v>0.125</v>
      </c>
      <c r="V104" s="10">
        <f t="shared" si="17"/>
        <v>18000</v>
      </c>
      <c r="W104" s="30"/>
      <c r="X104" s="31" t="s">
        <v>175</v>
      </c>
      <c r="Y104" s="31" t="s">
        <v>7</v>
      </c>
      <c r="Z104" s="31" t="s">
        <v>138</v>
      </c>
      <c r="AA104" s="32" t="s">
        <v>27</v>
      </c>
      <c r="AB104" s="34">
        <f t="shared" si="15"/>
        <v>18000</v>
      </c>
      <c r="AC104" s="33">
        <v>3000</v>
      </c>
      <c r="AE104" s="40">
        <f t="shared" si="16"/>
        <v>0.16666666666666666</v>
      </c>
      <c r="AF104" s="31">
        <f>V104+AC104</f>
        <v>21000</v>
      </c>
    </row>
    <row r="105" spans="1:32" x14ac:dyDescent="0.25">
      <c r="A105" s="21"/>
      <c r="B105" s="21">
        <v>21112017</v>
      </c>
      <c r="C105" s="21" t="s">
        <v>159</v>
      </c>
      <c r="D105" s="21"/>
      <c r="E105" s="22">
        <v>2000</v>
      </c>
      <c r="F105" s="23" t="s">
        <v>175</v>
      </c>
      <c r="G105" s="5" t="s">
        <v>7</v>
      </c>
      <c r="H105" s="5" t="s">
        <v>20</v>
      </c>
      <c r="I105" s="5" t="s">
        <v>27</v>
      </c>
      <c r="J105" s="7">
        <v>0</v>
      </c>
      <c r="K105" s="5"/>
      <c r="L105" s="5">
        <v>10000</v>
      </c>
      <c r="M105" s="5"/>
      <c r="N105" s="5"/>
      <c r="O105" s="6"/>
      <c r="P105" s="6"/>
      <c r="Q105" s="6"/>
      <c r="R105" s="6"/>
      <c r="S105" s="11"/>
      <c r="T105" s="6"/>
      <c r="U105" s="41"/>
      <c r="V105" s="10">
        <f t="shared" si="17"/>
        <v>10000</v>
      </c>
      <c r="W105" s="30"/>
      <c r="X105" s="31" t="s">
        <v>174</v>
      </c>
      <c r="AB105" s="34">
        <f t="shared" si="15"/>
        <v>0</v>
      </c>
    </row>
    <row r="106" spans="1:32" x14ac:dyDescent="0.25">
      <c r="A106" s="21"/>
      <c r="B106" s="21">
        <v>10431999</v>
      </c>
      <c r="C106" s="21" t="s">
        <v>107</v>
      </c>
      <c r="D106" s="21"/>
      <c r="E106" s="22">
        <v>2000</v>
      </c>
      <c r="F106" s="23" t="s">
        <v>175</v>
      </c>
      <c r="G106" s="5" t="s">
        <v>7</v>
      </c>
      <c r="H106" s="5" t="s">
        <v>20</v>
      </c>
      <c r="I106" s="5" t="s">
        <v>28</v>
      </c>
      <c r="J106" s="7">
        <v>0</v>
      </c>
      <c r="K106" s="5"/>
      <c r="L106" s="5">
        <v>16000</v>
      </c>
      <c r="M106" s="5"/>
      <c r="N106" s="5" t="s">
        <v>175</v>
      </c>
      <c r="O106" s="6" t="s">
        <v>7</v>
      </c>
      <c r="P106" s="6" t="s">
        <v>20</v>
      </c>
      <c r="Q106" s="6" t="s">
        <v>28</v>
      </c>
      <c r="R106" s="6">
        <f t="shared" si="13"/>
        <v>16000</v>
      </c>
      <c r="S106" s="11">
        <v>2000</v>
      </c>
      <c r="T106" s="6"/>
      <c r="U106" s="41">
        <f t="shared" si="14"/>
        <v>0.125</v>
      </c>
      <c r="V106" s="10">
        <f t="shared" si="17"/>
        <v>18000</v>
      </c>
      <c r="W106" s="30"/>
      <c r="X106" s="31" t="s">
        <v>175</v>
      </c>
      <c r="Y106" s="31" t="s">
        <v>7</v>
      </c>
      <c r="Z106" s="31" t="s">
        <v>20</v>
      </c>
      <c r="AA106" s="32" t="s">
        <v>28</v>
      </c>
      <c r="AB106" s="34">
        <f t="shared" si="15"/>
        <v>18000</v>
      </c>
      <c r="AC106" s="33">
        <v>2000</v>
      </c>
      <c r="AE106" s="40">
        <f t="shared" si="16"/>
        <v>0.1111111111111111</v>
      </c>
      <c r="AF106" s="31">
        <f>V106+AC106</f>
        <v>20000</v>
      </c>
    </row>
    <row r="107" spans="1:32" x14ac:dyDescent="0.25">
      <c r="A107" s="21"/>
      <c r="B107" s="21">
        <v>10632016</v>
      </c>
      <c r="C107" s="21" t="s">
        <v>108</v>
      </c>
      <c r="D107" s="21"/>
      <c r="E107" s="22">
        <v>1000</v>
      </c>
      <c r="F107" s="23" t="s">
        <v>175</v>
      </c>
      <c r="G107" s="5" t="s">
        <v>7</v>
      </c>
      <c r="H107" s="5" t="s">
        <v>20</v>
      </c>
      <c r="I107" s="5" t="s">
        <v>29</v>
      </c>
      <c r="J107" s="7">
        <v>500</v>
      </c>
      <c r="K107" s="5"/>
      <c r="L107" s="5">
        <v>13500</v>
      </c>
      <c r="M107" s="5"/>
      <c r="N107" s="5" t="s">
        <v>175</v>
      </c>
      <c r="O107" s="6" t="s">
        <v>7</v>
      </c>
      <c r="P107" s="6" t="s">
        <v>20</v>
      </c>
      <c r="Q107" s="6" t="s">
        <v>29</v>
      </c>
      <c r="R107" s="6">
        <f t="shared" si="13"/>
        <v>13500</v>
      </c>
      <c r="S107" s="11">
        <v>1500</v>
      </c>
      <c r="T107" s="6"/>
      <c r="U107" s="41">
        <f t="shared" si="14"/>
        <v>0.1111111111111111</v>
      </c>
      <c r="V107" s="10">
        <f t="shared" si="17"/>
        <v>15000</v>
      </c>
      <c r="W107" s="30"/>
      <c r="X107" s="31" t="s">
        <v>175</v>
      </c>
      <c r="Y107" s="31" t="s">
        <v>7</v>
      </c>
      <c r="Z107" s="31" t="s">
        <v>20</v>
      </c>
      <c r="AA107" s="32" t="s">
        <v>29</v>
      </c>
      <c r="AB107" s="34">
        <f t="shared" si="15"/>
        <v>15000</v>
      </c>
      <c r="AC107" s="33">
        <v>2000</v>
      </c>
      <c r="AE107" s="40">
        <f t="shared" si="16"/>
        <v>0.13333333333333333</v>
      </c>
      <c r="AF107" s="31">
        <f>V107+AC107</f>
        <v>17000</v>
      </c>
    </row>
    <row r="108" spans="1:32" x14ac:dyDescent="0.25">
      <c r="A108" s="21"/>
      <c r="B108" s="21">
        <v>20420000</v>
      </c>
      <c r="C108" s="21" t="s">
        <v>109</v>
      </c>
      <c r="D108" s="21"/>
      <c r="E108" s="22">
        <v>1000</v>
      </c>
      <c r="F108" s="23" t="s">
        <v>175</v>
      </c>
      <c r="G108" s="5" t="s">
        <v>7</v>
      </c>
      <c r="H108" s="5" t="s">
        <v>20</v>
      </c>
      <c r="I108" s="5" t="s">
        <v>28</v>
      </c>
      <c r="J108" s="7">
        <v>0</v>
      </c>
      <c r="K108" s="5"/>
      <c r="L108" s="5">
        <v>14000</v>
      </c>
      <c r="M108" s="5"/>
      <c r="N108" s="5" t="s">
        <v>175</v>
      </c>
      <c r="O108" s="6" t="s">
        <v>7</v>
      </c>
      <c r="P108" s="6" t="s">
        <v>20</v>
      </c>
      <c r="Q108" s="6" t="s">
        <v>28</v>
      </c>
      <c r="R108" s="6">
        <f t="shared" si="13"/>
        <v>14000</v>
      </c>
      <c r="S108" s="11">
        <v>2000</v>
      </c>
      <c r="T108" s="6"/>
      <c r="U108" s="41">
        <f t="shared" si="14"/>
        <v>0.14285714285714285</v>
      </c>
      <c r="V108" s="10">
        <f t="shared" si="17"/>
        <v>16000</v>
      </c>
      <c r="W108" s="30"/>
      <c r="X108" s="31" t="s">
        <v>175</v>
      </c>
      <c r="Y108" s="31" t="s">
        <v>7</v>
      </c>
      <c r="Z108" s="31" t="s">
        <v>20</v>
      </c>
      <c r="AA108" s="32" t="s">
        <v>28</v>
      </c>
      <c r="AB108" s="34">
        <f t="shared" si="15"/>
        <v>16000</v>
      </c>
      <c r="AC108" s="33">
        <v>2000</v>
      </c>
      <c r="AE108" s="40">
        <f t="shared" si="16"/>
        <v>0.125</v>
      </c>
      <c r="AF108" s="31">
        <f>V108+AC108</f>
        <v>18000</v>
      </c>
    </row>
    <row r="109" spans="1:32" x14ac:dyDescent="0.25">
      <c r="A109" s="21"/>
      <c r="B109" s="21">
        <v>10582015</v>
      </c>
      <c r="C109" s="21" t="s">
        <v>110</v>
      </c>
      <c r="D109" s="21"/>
      <c r="E109" s="22">
        <v>1000</v>
      </c>
      <c r="F109" s="23" t="s">
        <v>175</v>
      </c>
      <c r="G109" s="5" t="s">
        <v>7</v>
      </c>
      <c r="H109" s="5" t="s">
        <v>20</v>
      </c>
      <c r="I109" s="5" t="s">
        <v>27</v>
      </c>
      <c r="J109" s="7">
        <v>1000</v>
      </c>
      <c r="K109" s="5"/>
      <c r="L109" s="5">
        <v>11000</v>
      </c>
      <c r="M109" s="5" t="s">
        <v>241</v>
      </c>
      <c r="N109" s="5" t="s">
        <v>175</v>
      </c>
      <c r="O109" s="6" t="s">
        <v>201</v>
      </c>
      <c r="P109" s="6" t="s">
        <v>20</v>
      </c>
      <c r="Q109" s="6" t="s">
        <v>27</v>
      </c>
      <c r="R109" s="6">
        <f t="shared" si="13"/>
        <v>11000</v>
      </c>
      <c r="S109" s="11">
        <v>3000</v>
      </c>
      <c r="T109" s="6"/>
      <c r="U109" s="41">
        <f t="shared" si="14"/>
        <v>0.27272727272727271</v>
      </c>
      <c r="V109" s="10">
        <f t="shared" si="17"/>
        <v>14000</v>
      </c>
      <c r="W109" s="30"/>
      <c r="X109" s="31" t="s">
        <v>175</v>
      </c>
      <c r="Y109" s="31" t="s">
        <v>201</v>
      </c>
      <c r="Z109" s="31" t="s">
        <v>20</v>
      </c>
      <c r="AA109" s="32" t="s">
        <v>27</v>
      </c>
      <c r="AB109" s="34">
        <f t="shared" si="15"/>
        <v>14000</v>
      </c>
      <c r="AC109" s="33">
        <v>2000</v>
      </c>
      <c r="AE109" s="40">
        <f t="shared" si="16"/>
        <v>0.14285714285714285</v>
      </c>
      <c r="AF109" s="31">
        <f>V109+AC109</f>
        <v>16000</v>
      </c>
    </row>
    <row r="110" spans="1:32" x14ac:dyDescent="0.25">
      <c r="A110" s="21"/>
      <c r="B110" s="21">
        <v>20792016</v>
      </c>
      <c r="C110" s="21" t="s">
        <v>111</v>
      </c>
      <c r="D110" s="21"/>
      <c r="E110" s="22">
        <v>0</v>
      </c>
      <c r="F110" s="23" t="s">
        <v>175</v>
      </c>
      <c r="G110" s="5" t="s">
        <v>7</v>
      </c>
      <c r="H110" s="5" t="s">
        <v>20</v>
      </c>
      <c r="I110" s="5" t="s">
        <v>27</v>
      </c>
      <c r="J110" s="7">
        <v>3000</v>
      </c>
      <c r="K110" s="5"/>
      <c r="L110" s="5">
        <v>11000</v>
      </c>
      <c r="M110" s="5" t="s">
        <v>241</v>
      </c>
      <c r="N110" s="5" t="s">
        <v>175</v>
      </c>
      <c r="O110" s="6" t="s">
        <v>201</v>
      </c>
      <c r="P110" s="6" t="s">
        <v>20</v>
      </c>
      <c r="Q110" s="6" t="s">
        <v>27</v>
      </c>
      <c r="R110" s="6">
        <f t="shared" si="13"/>
        <v>11000</v>
      </c>
      <c r="S110" s="11">
        <v>3000</v>
      </c>
      <c r="T110" s="6"/>
      <c r="U110" s="41">
        <f t="shared" si="14"/>
        <v>0.27272727272727271</v>
      </c>
      <c r="V110" s="10">
        <f t="shared" si="17"/>
        <v>14000</v>
      </c>
      <c r="W110" s="30"/>
      <c r="X110" s="31" t="s">
        <v>175</v>
      </c>
      <c r="Y110" s="31" t="s">
        <v>201</v>
      </c>
      <c r="Z110" s="31" t="s">
        <v>20</v>
      </c>
      <c r="AA110" s="32" t="s">
        <v>27</v>
      </c>
      <c r="AB110" s="34">
        <f t="shared" si="15"/>
        <v>14000</v>
      </c>
      <c r="AC110" s="33">
        <v>2000</v>
      </c>
      <c r="AE110" s="40">
        <f t="shared" si="16"/>
        <v>0.14285714285714285</v>
      </c>
      <c r="AF110" s="31">
        <f>V110+AC110</f>
        <v>16000</v>
      </c>
    </row>
    <row r="111" spans="1:32" x14ac:dyDescent="0.25">
      <c r="A111" s="21"/>
      <c r="B111" s="21">
        <v>20972016</v>
      </c>
      <c r="C111" s="21" t="s">
        <v>112</v>
      </c>
      <c r="D111" s="21"/>
      <c r="E111" s="22">
        <v>0</v>
      </c>
      <c r="F111" s="23" t="s">
        <v>175</v>
      </c>
      <c r="G111" s="5" t="s">
        <v>7</v>
      </c>
      <c r="H111" s="5" t="s">
        <v>20</v>
      </c>
      <c r="I111" s="5" t="s">
        <v>28</v>
      </c>
      <c r="J111" s="7">
        <v>0</v>
      </c>
      <c r="K111" s="5"/>
      <c r="L111" s="5">
        <v>8000</v>
      </c>
      <c r="M111" s="5"/>
      <c r="N111" s="5"/>
      <c r="O111" s="6"/>
      <c r="P111" s="6"/>
      <c r="Q111" s="6"/>
      <c r="R111" s="6"/>
      <c r="S111" s="11"/>
      <c r="T111" s="6"/>
      <c r="U111" s="41"/>
      <c r="V111" s="10">
        <f t="shared" si="17"/>
        <v>8000</v>
      </c>
      <c r="W111" s="30"/>
      <c r="X111" s="31" t="s">
        <v>174</v>
      </c>
      <c r="AB111" s="34">
        <f t="shared" si="15"/>
        <v>8000</v>
      </c>
      <c r="AF111" s="31">
        <f t="shared" ref="AF111:AF168" si="19">V111+AC111</f>
        <v>8000</v>
      </c>
    </row>
    <row r="112" spans="1:32" x14ac:dyDescent="0.25">
      <c r="A112" s="21"/>
      <c r="B112" s="21">
        <v>21082017</v>
      </c>
      <c r="C112" s="21" t="s">
        <v>113</v>
      </c>
      <c r="D112" s="21"/>
      <c r="E112" s="22">
        <v>1000</v>
      </c>
      <c r="F112" s="23" t="s">
        <v>175</v>
      </c>
      <c r="G112" s="5" t="s">
        <v>7</v>
      </c>
      <c r="H112" s="5" t="s">
        <v>20</v>
      </c>
      <c r="I112" s="5" t="s">
        <v>28</v>
      </c>
      <c r="J112" s="7">
        <v>0</v>
      </c>
      <c r="K112" s="5"/>
      <c r="L112" s="5">
        <v>11000</v>
      </c>
      <c r="M112" s="5"/>
      <c r="N112" s="5" t="s">
        <v>175</v>
      </c>
      <c r="O112" s="6" t="s">
        <v>7</v>
      </c>
      <c r="P112" s="6" t="s">
        <v>20</v>
      </c>
      <c r="Q112" s="6" t="s">
        <v>28</v>
      </c>
      <c r="R112" s="6">
        <f t="shared" si="13"/>
        <v>11000</v>
      </c>
      <c r="S112" s="11">
        <v>2000</v>
      </c>
      <c r="T112" s="6"/>
      <c r="U112" s="41">
        <f t="shared" si="14"/>
        <v>0.18181818181818182</v>
      </c>
      <c r="V112" s="10">
        <f t="shared" si="17"/>
        <v>13000</v>
      </c>
      <c r="W112" s="30"/>
      <c r="X112" s="31" t="s">
        <v>175</v>
      </c>
      <c r="Y112" s="31" t="s">
        <v>7</v>
      </c>
      <c r="Z112" s="31" t="s">
        <v>20</v>
      </c>
      <c r="AA112" s="32" t="s">
        <v>28</v>
      </c>
      <c r="AB112" s="34">
        <f t="shared" si="15"/>
        <v>13000</v>
      </c>
      <c r="AC112" s="33">
        <v>3000</v>
      </c>
      <c r="AE112" s="40">
        <f t="shared" si="16"/>
        <v>0.23076923076923078</v>
      </c>
      <c r="AF112" s="31">
        <f t="shared" si="19"/>
        <v>16000</v>
      </c>
    </row>
    <row r="113" spans="1:32" x14ac:dyDescent="0.25">
      <c r="A113" s="21"/>
      <c r="B113" s="21">
        <v>21122017</v>
      </c>
      <c r="C113" s="21" t="s">
        <v>114</v>
      </c>
      <c r="D113" s="21"/>
      <c r="E113" s="22">
        <v>0</v>
      </c>
      <c r="F113" s="23" t="s">
        <v>175</v>
      </c>
      <c r="G113" s="5" t="s">
        <v>7</v>
      </c>
      <c r="H113" s="5" t="s">
        <v>20</v>
      </c>
      <c r="I113" s="5" t="s">
        <v>28</v>
      </c>
      <c r="J113" s="7">
        <v>3000</v>
      </c>
      <c r="K113" s="5"/>
      <c r="L113" s="5">
        <v>11000</v>
      </c>
      <c r="M113" s="5"/>
      <c r="N113" s="5" t="s">
        <v>175</v>
      </c>
      <c r="O113" s="6" t="s">
        <v>201</v>
      </c>
      <c r="P113" s="6" t="s">
        <v>20</v>
      </c>
      <c r="Q113" s="6" t="s">
        <v>27</v>
      </c>
      <c r="R113" s="6">
        <f t="shared" si="13"/>
        <v>11000</v>
      </c>
      <c r="S113" s="11">
        <v>3000</v>
      </c>
      <c r="T113" s="6"/>
      <c r="U113" s="41">
        <f t="shared" si="14"/>
        <v>0.27272727272727271</v>
      </c>
      <c r="V113" s="10">
        <f t="shared" si="17"/>
        <v>14000</v>
      </c>
      <c r="W113" s="30"/>
      <c r="X113" s="31" t="s">
        <v>175</v>
      </c>
      <c r="Y113" s="31" t="s">
        <v>201</v>
      </c>
      <c r="Z113" s="31" t="s">
        <v>20</v>
      </c>
      <c r="AA113" s="32" t="s">
        <v>27</v>
      </c>
      <c r="AB113" s="34">
        <f t="shared" si="15"/>
        <v>14000</v>
      </c>
      <c r="AC113" s="33">
        <v>2000</v>
      </c>
      <c r="AE113" s="40">
        <f t="shared" si="16"/>
        <v>0.14285714285714285</v>
      </c>
      <c r="AF113" s="31">
        <f t="shared" si="19"/>
        <v>16000</v>
      </c>
    </row>
    <row r="114" spans="1:32" x14ac:dyDescent="0.25">
      <c r="A114" s="21"/>
      <c r="B114" s="21">
        <v>20872017</v>
      </c>
      <c r="C114" s="21" t="s">
        <v>115</v>
      </c>
      <c r="D114" s="21"/>
      <c r="E114" s="22">
        <v>0</v>
      </c>
      <c r="F114" s="23" t="s">
        <v>175</v>
      </c>
      <c r="G114" s="5" t="s">
        <v>7</v>
      </c>
      <c r="H114" s="5" t="s">
        <v>20</v>
      </c>
      <c r="I114" s="5" t="s">
        <v>28</v>
      </c>
      <c r="J114" s="7">
        <v>1000</v>
      </c>
      <c r="K114" s="5"/>
      <c r="L114" s="5">
        <v>11000</v>
      </c>
      <c r="M114" s="5"/>
      <c r="N114" s="5" t="s">
        <v>175</v>
      </c>
      <c r="O114" s="6" t="s">
        <v>7</v>
      </c>
      <c r="P114" s="6" t="s">
        <v>20</v>
      </c>
      <c r="Q114" s="6" t="s">
        <v>28</v>
      </c>
      <c r="R114" s="6">
        <f t="shared" si="13"/>
        <v>11000</v>
      </c>
      <c r="S114" s="11">
        <v>2000</v>
      </c>
      <c r="T114" s="6"/>
      <c r="U114" s="41">
        <f t="shared" si="14"/>
        <v>0.18181818181818182</v>
      </c>
      <c r="V114" s="10">
        <f t="shared" si="17"/>
        <v>13000</v>
      </c>
      <c r="W114" s="30"/>
      <c r="X114" s="31" t="s">
        <v>175</v>
      </c>
      <c r="Y114" s="31" t="s">
        <v>7</v>
      </c>
      <c r="Z114" s="31" t="s">
        <v>20</v>
      </c>
      <c r="AA114" s="32" t="s">
        <v>28</v>
      </c>
      <c r="AB114" s="34">
        <f t="shared" si="15"/>
        <v>13000</v>
      </c>
      <c r="AC114" s="33">
        <v>3000</v>
      </c>
      <c r="AE114" s="40">
        <f t="shared" si="16"/>
        <v>0.23076923076923078</v>
      </c>
      <c r="AF114" s="31">
        <f t="shared" si="19"/>
        <v>16000</v>
      </c>
    </row>
    <row r="115" spans="1:32" x14ac:dyDescent="0.25">
      <c r="A115" s="21"/>
      <c r="B115" s="21">
        <v>21292018</v>
      </c>
      <c r="C115" s="21" t="s">
        <v>116</v>
      </c>
      <c r="D115" s="21"/>
      <c r="E115" s="22">
        <v>0</v>
      </c>
      <c r="F115" s="23" t="s">
        <v>175</v>
      </c>
      <c r="G115" s="5" t="s">
        <v>7</v>
      </c>
      <c r="H115" s="5" t="s">
        <v>20</v>
      </c>
      <c r="I115" s="5" t="s">
        <v>28</v>
      </c>
      <c r="J115" s="7">
        <v>2000</v>
      </c>
      <c r="K115" s="5"/>
      <c r="L115" s="5">
        <v>10000</v>
      </c>
      <c r="M115" s="5"/>
      <c r="N115" s="5" t="s">
        <v>175</v>
      </c>
      <c r="O115" s="6" t="s">
        <v>7</v>
      </c>
      <c r="P115" s="6" t="s">
        <v>20</v>
      </c>
      <c r="Q115" s="6" t="s">
        <v>27</v>
      </c>
      <c r="R115" s="6">
        <f t="shared" si="13"/>
        <v>10000</v>
      </c>
      <c r="S115" s="11">
        <v>3000</v>
      </c>
      <c r="T115" s="6"/>
      <c r="U115" s="41">
        <f t="shared" si="14"/>
        <v>0.3</v>
      </c>
      <c r="V115" s="10">
        <f t="shared" si="17"/>
        <v>13000</v>
      </c>
      <c r="W115" s="30"/>
      <c r="X115" s="31" t="s">
        <v>175</v>
      </c>
      <c r="Y115" s="31" t="s">
        <v>7</v>
      </c>
      <c r="Z115" s="31" t="s">
        <v>36</v>
      </c>
      <c r="AA115" s="32" t="s">
        <v>3</v>
      </c>
      <c r="AB115" s="34">
        <f t="shared" si="15"/>
        <v>13000</v>
      </c>
      <c r="AC115" s="33">
        <v>5000</v>
      </c>
      <c r="AE115" s="40">
        <f t="shared" si="16"/>
        <v>0.38461538461538464</v>
      </c>
      <c r="AF115" s="31">
        <f t="shared" si="19"/>
        <v>18000</v>
      </c>
    </row>
    <row r="116" spans="1:32" x14ac:dyDescent="0.25">
      <c r="A116" s="21"/>
      <c r="B116" s="21">
        <v>20412000</v>
      </c>
      <c r="C116" s="21" t="s">
        <v>117</v>
      </c>
      <c r="D116" s="21"/>
      <c r="E116" s="22">
        <v>500</v>
      </c>
      <c r="F116" s="23" t="s">
        <v>175</v>
      </c>
      <c r="G116" s="5" t="s">
        <v>7</v>
      </c>
      <c r="H116" s="5" t="s">
        <v>20</v>
      </c>
      <c r="I116" s="5" t="s">
        <v>30</v>
      </c>
      <c r="J116" s="7">
        <v>0</v>
      </c>
      <c r="K116" s="5"/>
      <c r="L116" s="5">
        <v>14000</v>
      </c>
      <c r="M116" s="5"/>
      <c r="N116" s="5" t="s">
        <v>175</v>
      </c>
      <c r="O116" s="6" t="s">
        <v>7</v>
      </c>
      <c r="P116" s="6" t="s">
        <v>20</v>
      </c>
      <c r="Q116" s="6" t="s">
        <v>30</v>
      </c>
      <c r="R116" s="6">
        <f t="shared" si="13"/>
        <v>14000</v>
      </c>
      <c r="S116" s="11">
        <v>2000</v>
      </c>
      <c r="T116" s="6"/>
      <c r="U116" s="41">
        <f t="shared" si="14"/>
        <v>0.14285714285714285</v>
      </c>
      <c r="V116" s="10">
        <f t="shared" si="17"/>
        <v>16000</v>
      </c>
      <c r="W116" s="30"/>
      <c r="X116" s="31" t="s">
        <v>175</v>
      </c>
      <c r="Y116" s="31" t="s">
        <v>7</v>
      </c>
      <c r="Z116" s="31" t="s">
        <v>20</v>
      </c>
      <c r="AA116" s="32" t="s">
        <v>30</v>
      </c>
      <c r="AB116" s="34">
        <f t="shared" si="15"/>
        <v>16000</v>
      </c>
      <c r="AC116" s="33">
        <v>2000</v>
      </c>
      <c r="AE116" s="40">
        <f t="shared" si="16"/>
        <v>0.125</v>
      </c>
      <c r="AF116" s="31">
        <f t="shared" si="19"/>
        <v>18000</v>
      </c>
    </row>
    <row r="117" spans="1:32" x14ac:dyDescent="0.25">
      <c r="A117" s="21"/>
      <c r="B117" s="21">
        <v>20442006</v>
      </c>
      <c r="C117" s="21" t="s">
        <v>160</v>
      </c>
      <c r="D117" s="21"/>
      <c r="E117" s="22">
        <v>500</v>
      </c>
      <c r="F117" s="23" t="s">
        <v>175</v>
      </c>
      <c r="G117" s="5" t="s">
        <v>7</v>
      </c>
      <c r="H117" s="5" t="s">
        <v>20</v>
      </c>
      <c r="I117" s="5" t="s">
        <v>30</v>
      </c>
      <c r="J117" s="7">
        <v>1000</v>
      </c>
      <c r="K117" s="5"/>
      <c r="L117" s="5">
        <v>14000</v>
      </c>
      <c r="M117" s="5"/>
      <c r="N117" s="5" t="s">
        <v>175</v>
      </c>
      <c r="O117" s="6" t="s">
        <v>7</v>
      </c>
      <c r="P117" s="6" t="s">
        <v>20</v>
      </c>
      <c r="Q117" s="6" t="s">
        <v>30</v>
      </c>
      <c r="R117" s="6">
        <f t="shared" si="13"/>
        <v>14000</v>
      </c>
      <c r="S117" s="11">
        <v>2000</v>
      </c>
      <c r="T117" s="6"/>
      <c r="U117" s="41">
        <f t="shared" si="14"/>
        <v>0.14285714285714285</v>
      </c>
      <c r="V117" s="10">
        <f t="shared" si="17"/>
        <v>16000</v>
      </c>
      <c r="W117" s="30"/>
      <c r="X117" s="31" t="s">
        <v>175</v>
      </c>
      <c r="Y117" s="31" t="s">
        <v>7</v>
      </c>
      <c r="Z117" s="31" t="s">
        <v>20</v>
      </c>
      <c r="AA117" s="32" t="s">
        <v>30</v>
      </c>
      <c r="AB117" s="34">
        <f t="shared" si="15"/>
        <v>16000</v>
      </c>
      <c r="AC117" s="33">
        <v>2000</v>
      </c>
      <c r="AE117" s="40">
        <f t="shared" si="16"/>
        <v>0.125</v>
      </c>
      <c r="AF117" s="31">
        <f t="shared" si="19"/>
        <v>18000</v>
      </c>
    </row>
    <row r="118" spans="1:32" x14ac:dyDescent="0.25">
      <c r="A118" s="21"/>
      <c r="B118" s="21">
        <v>20832016</v>
      </c>
      <c r="C118" s="21" t="s">
        <v>161</v>
      </c>
      <c r="D118" s="21"/>
      <c r="E118" s="22">
        <v>0</v>
      </c>
      <c r="F118" s="23" t="s">
        <v>175</v>
      </c>
      <c r="G118" s="5" t="s">
        <v>7</v>
      </c>
      <c r="H118" s="5" t="s">
        <v>20</v>
      </c>
      <c r="I118" s="5" t="s">
        <v>31</v>
      </c>
      <c r="J118" s="7">
        <v>0</v>
      </c>
      <c r="K118" s="5"/>
      <c r="L118" s="5">
        <v>8000</v>
      </c>
      <c r="M118" s="5"/>
      <c r="N118" s="5"/>
      <c r="O118" s="6"/>
      <c r="P118" s="6"/>
      <c r="Q118" s="6"/>
      <c r="R118" s="6"/>
      <c r="S118" s="11"/>
      <c r="T118" s="6"/>
      <c r="U118" s="41"/>
      <c r="V118" s="10">
        <f t="shared" si="17"/>
        <v>8000</v>
      </c>
      <c r="W118" s="30"/>
      <c r="X118" s="31" t="s">
        <v>174</v>
      </c>
      <c r="AB118" s="34">
        <f t="shared" si="15"/>
        <v>8000</v>
      </c>
      <c r="AF118" s="31">
        <f t="shared" si="19"/>
        <v>8000</v>
      </c>
    </row>
    <row r="119" spans="1:32" x14ac:dyDescent="0.25">
      <c r="A119" s="21"/>
      <c r="B119" s="21">
        <v>21012017</v>
      </c>
      <c r="C119" s="21" t="s">
        <v>118</v>
      </c>
      <c r="D119" s="21"/>
      <c r="E119" s="22">
        <v>2000</v>
      </c>
      <c r="F119" s="23" t="s">
        <v>175</v>
      </c>
      <c r="G119" s="5" t="s">
        <v>7</v>
      </c>
      <c r="H119" s="5" t="s">
        <v>20</v>
      </c>
      <c r="I119" s="5" t="s">
        <v>31</v>
      </c>
      <c r="J119" s="7">
        <v>2000</v>
      </c>
      <c r="K119" s="5"/>
      <c r="L119" s="5">
        <v>12000</v>
      </c>
      <c r="M119" s="5"/>
      <c r="N119" s="5" t="s">
        <v>175</v>
      </c>
      <c r="O119" s="6" t="s">
        <v>7</v>
      </c>
      <c r="P119" s="6" t="s">
        <v>20</v>
      </c>
      <c r="Q119" s="6" t="s">
        <v>207</v>
      </c>
      <c r="R119" s="6">
        <f t="shared" si="13"/>
        <v>12000</v>
      </c>
      <c r="S119" s="11">
        <v>2000</v>
      </c>
      <c r="T119" s="6"/>
      <c r="U119" s="41">
        <f t="shared" si="14"/>
        <v>0.16666666666666666</v>
      </c>
      <c r="V119" s="10">
        <f t="shared" si="17"/>
        <v>14000</v>
      </c>
      <c r="W119" s="30"/>
      <c r="X119" s="31" t="s">
        <v>175</v>
      </c>
      <c r="Y119" s="31" t="s">
        <v>7</v>
      </c>
      <c r="Z119" s="31" t="s">
        <v>20</v>
      </c>
      <c r="AA119" s="32" t="s">
        <v>207</v>
      </c>
      <c r="AB119" s="34">
        <f t="shared" si="15"/>
        <v>14000</v>
      </c>
      <c r="AF119" s="31">
        <f t="shared" si="19"/>
        <v>14000</v>
      </c>
    </row>
    <row r="120" spans="1:32" x14ac:dyDescent="0.25">
      <c r="A120" s="21"/>
      <c r="B120" s="21">
        <v>21022017</v>
      </c>
      <c r="C120" s="21" t="s">
        <v>119</v>
      </c>
      <c r="D120" s="21"/>
      <c r="E120" s="22">
        <v>0</v>
      </c>
      <c r="F120" s="23" t="s">
        <v>175</v>
      </c>
      <c r="G120" s="5" t="s">
        <v>7</v>
      </c>
      <c r="H120" s="5" t="s">
        <v>20</v>
      </c>
      <c r="I120" s="5" t="s">
        <v>31</v>
      </c>
      <c r="J120" s="7">
        <v>2000</v>
      </c>
      <c r="K120" s="5"/>
      <c r="L120" s="5">
        <v>10000</v>
      </c>
      <c r="M120" s="5"/>
      <c r="N120" s="5" t="s">
        <v>175</v>
      </c>
      <c r="O120" s="6" t="s">
        <v>7</v>
      </c>
      <c r="P120" s="6" t="s">
        <v>20</v>
      </c>
      <c r="Q120" s="6" t="s">
        <v>28</v>
      </c>
      <c r="R120" s="6">
        <f t="shared" si="13"/>
        <v>10000</v>
      </c>
      <c r="S120" s="11">
        <v>2000</v>
      </c>
      <c r="T120" s="6"/>
      <c r="U120" s="41">
        <f t="shared" si="14"/>
        <v>0.2</v>
      </c>
      <c r="V120" s="10">
        <f t="shared" si="17"/>
        <v>12000</v>
      </c>
      <c r="W120" s="30"/>
      <c r="X120" s="31" t="s">
        <v>175</v>
      </c>
      <c r="Y120" s="31" t="s">
        <v>7</v>
      </c>
      <c r="Z120" s="31" t="s">
        <v>20</v>
      </c>
      <c r="AA120" s="32" t="s">
        <v>28</v>
      </c>
      <c r="AB120" s="34">
        <f t="shared" si="15"/>
        <v>12000</v>
      </c>
      <c r="AC120" s="33">
        <v>2000</v>
      </c>
      <c r="AE120" s="40">
        <f t="shared" si="16"/>
        <v>0.16666666666666666</v>
      </c>
      <c r="AF120" s="31">
        <f t="shared" si="19"/>
        <v>14000</v>
      </c>
    </row>
    <row r="121" spans="1:32" x14ac:dyDescent="0.25">
      <c r="A121" s="21"/>
      <c r="B121" s="21">
        <v>10352009</v>
      </c>
      <c r="C121" s="21" t="s">
        <v>120</v>
      </c>
      <c r="D121" s="21"/>
      <c r="E121" s="22">
        <v>2000</v>
      </c>
      <c r="F121" s="23" t="s">
        <v>175</v>
      </c>
      <c r="G121" s="5" t="s">
        <v>34</v>
      </c>
      <c r="H121" s="5" t="s">
        <v>32</v>
      </c>
      <c r="I121" s="5" t="s">
        <v>33</v>
      </c>
      <c r="J121" s="7">
        <v>4000</v>
      </c>
      <c r="K121" s="5"/>
      <c r="L121" s="5">
        <v>45000</v>
      </c>
      <c r="M121" s="5"/>
      <c r="N121" s="5" t="s">
        <v>175</v>
      </c>
      <c r="O121" s="6" t="s">
        <v>201</v>
      </c>
      <c r="P121" s="6" t="s">
        <v>32</v>
      </c>
      <c r="Q121" s="6" t="s">
        <v>33</v>
      </c>
      <c r="R121" s="6">
        <f t="shared" si="13"/>
        <v>45000</v>
      </c>
      <c r="S121" s="11">
        <v>10000</v>
      </c>
      <c r="T121" s="6"/>
      <c r="U121" s="41">
        <f t="shared" si="14"/>
        <v>0.22222222222222221</v>
      </c>
      <c r="V121" s="10">
        <f t="shared" si="17"/>
        <v>55000</v>
      </c>
      <c r="W121" s="30"/>
      <c r="X121" s="31" t="s">
        <v>175</v>
      </c>
      <c r="Y121" s="31" t="s">
        <v>201</v>
      </c>
      <c r="Z121" s="31" t="s">
        <v>32</v>
      </c>
      <c r="AA121" s="32" t="s">
        <v>33</v>
      </c>
      <c r="AB121" s="34">
        <f t="shared" si="15"/>
        <v>55000</v>
      </c>
      <c r="AC121" s="33">
        <v>15000</v>
      </c>
      <c r="AE121" s="40">
        <f t="shared" si="16"/>
        <v>0.27272727272727271</v>
      </c>
      <c r="AF121" s="31">
        <f t="shared" si="19"/>
        <v>70000</v>
      </c>
    </row>
    <row r="122" spans="1:32" x14ac:dyDescent="0.25">
      <c r="A122" s="21"/>
      <c r="B122" s="21">
        <v>10952017</v>
      </c>
      <c r="C122" s="21" t="s">
        <v>121</v>
      </c>
      <c r="D122" s="21"/>
      <c r="E122" s="22">
        <v>0</v>
      </c>
      <c r="F122" s="23" t="s">
        <v>175</v>
      </c>
      <c r="G122" s="5" t="s">
        <v>34</v>
      </c>
      <c r="H122" s="5" t="s">
        <v>32</v>
      </c>
      <c r="I122" s="5" t="s">
        <v>35</v>
      </c>
      <c r="J122" s="7">
        <v>0</v>
      </c>
      <c r="K122" s="5"/>
      <c r="L122" s="5">
        <v>18000</v>
      </c>
      <c r="M122" s="5"/>
      <c r="N122" s="5" t="s">
        <v>175</v>
      </c>
      <c r="O122" s="6" t="s">
        <v>201</v>
      </c>
      <c r="P122" s="6" t="s">
        <v>32</v>
      </c>
      <c r="Q122" s="6" t="s">
        <v>35</v>
      </c>
      <c r="R122" s="6">
        <f t="shared" si="13"/>
        <v>18000</v>
      </c>
      <c r="S122" s="11">
        <v>5000</v>
      </c>
      <c r="T122" s="6"/>
      <c r="U122" s="41">
        <f t="shared" si="14"/>
        <v>0.27777777777777779</v>
      </c>
      <c r="V122" s="10">
        <f t="shared" si="17"/>
        <v>23000</v>
      </c>
      <c r="W122" s="30"/>
      <c r="X122" s="31" t="s">
        <v>175</v>
      </c>
      <c r="Y122" s="31" t="s">
        <v>201</v>
      </c>
      <c r="Z122" s="31" t="s">
        <v>32</v>
      </c>
      <c r="AA122" s="32" t="s">
        <v>3</v>
      </c>
      <c r="AB122" s="34">
        <f t="shared" si="15"/>
        <v>23000</v>
      </c>
      <c r="AC122" s="33">
        <v>4000</v>
      </c>
      <c r="AE122" s="40">
        <f t="shared" si="16"/>
        <v>0.17391304347826086</v>
      </c>
      <c r="AF122" s="31">
        <f t="shared" si="19"/>
        <v>27000</v>
      </c>
    </row>
    <row r="123" spans="1:32" x14ac:dyDescent="0.25">
      <c r="A123" s="21"/>
      <c r="B123" s="21">
        <v>20692016</v>
      </c>
      <c r="C123" s="21" t="s">
        <v>122</v>
      </c>
      <c r="D123" s="21"/>
      <c r="E123" s="22">
        <v>2000</v>
      </c>
      <c r="F123" s="23" t="s">
        <v>175</v>
      </c>
      <c r="G123" s="5" t="s">
        <v>34</v>
      </c>
      <c r="H123" s="5" t="s">
        <v>32</v>
      </c>
      <c r="I123" s="5" t="s">
        <v>3</v>
      </c>
      <c r="J123" s="7">
        <v>4000</v>
      </c>
      <c r="K123" s="5"/>
      <c r="L123" s="5">
        <v>28000</v>
      </c>
      <c r="M123" s="5"/>
      <c r="N123" s="5" t="s">
        <v>175</v>
      </c>
      <c r="O123" s="6" t="s">
        <v>201</v>
      </c>
      <c r="P123" s="6" t="s">
        <v>32</v>
      </c>
      <c r="Q123" s="6" t="s">
        <v>3</v>
      </c>
      <c r="R123" s="6">
        <f t="shared" si="13"/>
        <v>28000</v>
      </c>
      <c r="S123" s="11">
        <v>3000</v>
      </c>
      <c r="T123" s="6"/>
      <c r="U123" s="41">
        <f t="shared" si="14"/>
        <v>0.10714285714285714</v>
      </c>
      <c r="V123" s="10">
        <f t="shared" si="17"/>
        <v>31000</v>
      </c>
      <c r="W123" s="30"/>
      <c r="X123" s="31" t="s">
        <v>175</v>
      </c>
      <c r="Y123" s="31" t="s">
        <v>201</v>
      </c>
      <c r="Z123" s="31" t="s">
        <v>32</v>
      </c>
      <c r="AA123" s="32" t="s">
        <v>4</v>
      </c>
      <c r="AB123" s="34">
        <f t="shared" si="15"/>
        <v>31000</v>
      </c>
      <c r="AC123" s="33">
        <v>5000</v>
      </c>
      <c r="AE123" s="40">
        <f t="shared" si="16"/>
        <v>0.16129032258064516</v>
      </c>
      <c r="AF123" s="31">
        <f t="shared" si="19"/>
        <v>36000</v>
      </c>
    </row>
    <row r="124" spans="1:32" x14ac:dyDescent="0.25">
      <c r="A124" s="21"/>
      <c r="B124" s="21">
        <v>21172018</v>
      </c>
      <c r="C124" s="21" t="s">
        <v>162</v>
      </c>
      <c r="D124" s="21"/>
      <c r="E124" s="22">
        <v>0</v>
      </c>
      <c r="F124" s="23" t="s">
        <v>175</v>
      </c>
      <c r="G124" s="5" t="s">
        <v>34</v>
      </c>
      <c r="H124" s="5" t="s">
        <v>36</v>
      </c>
      <c r="I124" s="5" t="s">
        <v>5</v>
      </c>
      <c r="J124" s="7">
        <v>0</v>
      </c>
      <c r="K124" s="5"/>
      <c r="L124" s="5">
        <v>45000</v>
      </c>
      <c r="M124" s="5"/>
      <c r="N124" s="5"/>
      <c r="O124" s="6"/>
      <c r="P124" s="6"/>
      <c r="Q124" s="6"/>
      <c r="R124" s="6">
        <f t="shared" si="13"/>
        <v>45000</v>
      </c>
      <c r="S124" s="11"/>
      <c r="T124" s="6"/>
      <c r="U124" s="41">
        <f t="shared" si="14"/>
        <v>0</v>
      </c>
      <c r="V124" s="10">
        <f t="shared" si="17"/>
        <v>45000</v>
      </c>
      <c r="W124" s="30"/>
      <c r="X124" s="31" t="s">
        <v>174</v>
      </c>
      <c r="AB124" s="34">
        <f t="shared" si="15"/>
        <v>45000</v>
      </c>
      <c r="AF124" s="31">
        <f t="shared" si="19"/>
        <v>45000</v>
      </c>
    </row>
    <row r="125" spans="1:32" x14ac:dyDescent="0.25">
      <c r="A125" s="21"/>
      <c r="B125" s="21">
        <v>21042017</v>
      </c>
      <c r="C125" s="21" t="s">
        <v>123</v>
      </c>
      <c r="D125" s="21"/>
      <c r="E125" s="22">
        <v>0</v>
      </c>
      <c r="F125" s="23" t="s">
        <v>175</v>
      </c>
      <c r="G125" s="5" t="s">
        <v>34</v>
      </c>
      <c r="H125" s="5" t="s">
        <v>36</v>
      </c>
      <c r="I125" s="5" t="s">
        <v>3</v>
      </c>
      <c r="J125" s="7">
        <v>0</v>
      </c>
      <c r="K125" s="5"/>
      <c r="L125" s="5">
        <v>35000</v>
      </c>
      <c r="M125" s="5"/>
      <c r="N125" s="5"/>
      <c r="O125" s="6"/>
      <c r="P125" s="6"/>
      <c r="Q125" s="6"/>
      <c r="R125" s="6">
        <f t="shared" si="13"/>
        <v>35000</v>
      </c>
      <c r="S125" s="11">
        <v>5000</v>
      </c>
      <c r="T125" s="6"/>
      <c r="U125" s="41">
        <f t="shared" si="14"/>
        <v>0.14285714285714285</v>
      </c>
      <c r="V125" s="10">
        <f t="shared" si="17"/>
        <v>40000</v>
      </c>
      <c r="W125" s="30"/>
      <c r="X125" s="31" t="s">
        <v>175</v>
      </c>
      <c r="Y125" s="31" t="s">
        <v>201</v>
      </c>
      <c r="Z125" s="31" t="s">
        <v>36</v>
      </c>
      <c r="AA125" s="32" t="s">
        <v>3</v>
      </c>
      <c r="AB125" s="34">
        <f t="shared" si="15"/>
        <v>40000</v>
      </c>
      <c r="AC125" s="33">
        <v>8000</v>
      </c>
      <c r="AE125" s="40">
        <f t="shared" si="16"/>
        <v>0.2</v>
      </c>
      <c r="AF125" s="31">
        <f t="shared" si="19"/>
        <v>48000</v>
      </c>
    </row>
    <row r="126" spans="1:32" x14ac:dyDescent="0.25">
      <c r="A126" s="21" t="s">
        <v>260</v>
      </c>
      <c r="B126" s="21">
        <v>40312017</v>
      </c>
      <c r="C126" s="21" t="s">
        <v>124</v>
      </c>
      <c r="D126" s="21"/>
      <c r="E126" s="22">
        <v>0</v>
      </c>
      <c r="F126" s="23" t="s">
        <v>175</v>
      </c>
      <c r="G126" s="5" t="s">
        <v>34</v>
      </c>
      <c r="H126" s="5" t="s">
        <v>36</v>
      </c>
      <c r="I126" s="5" t="s">
        <v>21</v>
      </c>
      <c r="J126" s="7">
        <v>0</v>
      </c>
      <c r="K126" s="5"/>
      <c r="L126" s="5">
        <v>40000</v>
      </c>
      <c r="M126" s="5"/>
      <c r="N126" s="5" t="s">
        <v>175</v>
      </c>
      <c r="O126" s="6" t="s">
        <v>201</v>
      </c>
      <c r="P126" s="6" t="s">
        <v>36</v>
      </c>
      <c r="Q126" s="6" t="s">
        <v>21</v>
      </c>
      <c r="R126" s="6">
        <f t="shared" si="13"/>
        <v>40000</v>
      </c>
      <c r="S126" s="11">
        <v>5000</v>
      </c>
      <c r="T126" s="6"/>
      <c r="U126" s="41">
        <f t="shared" si="14"/>
        <v>0.125</v>
      </c>
      <c r="V126" s="10">
        <f t="shared" si="17"/>
        <v>45000</v>
      </c>
      <c r="W126" s="30"/>
      <c r="X126" s="31" t="s">
        <v>175</v>
      </c>
      <c r="Y126" s="31" t="s">
        <v>201</v>
      </c>
      <c r="Z126" s="31" t="s">
        <v>36</v>
      </c>
      <c r="AA126" s="32" t="s">
        <v>21</v>
      </c>
      <c r="AB126" s="34">
        <f t="shared" si="15"/>
        <v>45000</v>
      </c>
      <c r="AC126" s="33">
        <v>8000</v>
      </c>
      <c r="AE126" s="40">
        <f t="shared" si="16"/>
        <v>0.17777777777777778</v>
      </c>
      <c r="AF126" s="31">
        <f t="shared" si="19"/>
        <v>53000</v>
      </c>
    </row>
    <row r="127" spans="1:32" x14ac:dyDescent="0.25">
      <c r="A127" s="21"/>
      <c r="B127" s="21">
        <v>21092017</v>
      </c>
      <c r="C127" s="21" t="s">
        <v>163</v>
      </c>
      <c r="D127" s="21"/>
      <c r="E127" s="22">
        <v>0</v>
      </c>
      <c r="F127" s="23" t="s">
        <v>175</v>
      </c>
      <c r="G127" s="5" t="s">
        <v>34</v>
      </c>
      <c r="H127" s="5" t="s">
        <v>37</v>
      </c>
      <c r="I127" s="5" t="s">
        <v>5</v>
      </c>
      <c r="J127" s="7">
        <v>0</v>
      </c>
      <c r="K127" s="5"/>
      <c r="L127" s="5">
        <v>25000</v>
      </c>
      <c r="M127" s="5"/>
      <c r="N127" s="5" t="s">
        <v>174</v>
      </c>
      <c r="O127" s="6" t="s">
        <v>174</v>
      </c>
      <c r="P127" s="6" t="s">
        <v>174</v>
      </c>
      <c r="Q127" s="6" t="s">
        <v>174</v>
      </c>
      <c r="R127" s="6">
        <f t="shared" si="13"/>
        <v>0</v>
      </c>
      <c r="S127" s="11">
        <v>0</v>
      </c>
      <c r="T127" s="6" t="s">
        <v>174</v>
      </c>
      <c r="U127" s="41"/>
      <c r="V127" s="10">
        <v>0</v>
      </c>
      <c r="W127" s="30"/>
      <c r="X127" s="31" t="s">
        <v>174</v>
      </c>
      <c r="AB127" s="34">
        <f t="shared" si="15"/>
        <v>0</v>
      </c>
      <c r="AF127" s="31">
        <f t="shared" si="19"/>
        <v>0</v>
      </c>
    </row>
    <row r="128" spans="1:32" x14ac:dyDescent="0.25">
      <c r="A128" s="21"/>
      <c r="B128" s="21">
        <v>20812016</v>
      </c>
      <c r="C128" s="21" t="s">
        <v>125</v>
      </c>
      <c r="D128" s="21"/>
      <c r="E128" s="22">
        <v>0</v>
      </c>
      <c r="F128" s="23" t="s">
        <v>175</v>
      </c>
      <c r="G128" s="5" t="s">
        <v>34</v>
      </c>
      <c r="H128" s="5" t="s">
        <v>37</v>
      </c>
      <c r="I128" s="5" t="s">
        <v>5</v>
      </c>
      <c r="J128" s="7">
        <v>14000</v>
      </c>
      <c r="K128" s="5"/>
      <c r="L128" s="5">
        <v>40000</v>
      </c>
      <c r="M128" s="5"/>
      <c r="N128" s="5" t="s">
        <v>175</v>
      </c>
      <c r="O128" s="6" t="s">
        <v>201</v>
      </c>
      <c r="P128" s="6" t="s">
        <v>37</v>
      </c>
      <c r="Q128" s="6" t="s">
        <v>3</v>
      </c>
      <c r="R128" s="6">
        <f t="shared" si="13"/>
        <v>40000</v>
      </c>
      <c r="S128" s="11">
        <v>5000</v>
      </c>
      <c r="T128" s="6"/>
      <c r="U128" s="41">
        <f t="shared" si="14"/>
        <v>0.125</v>
      </c>
      <c r="V128" s="10">
        <f t="shared" si="17"/>
        <v>45000</v>
      </c>
      <c r="W128" s="30"/>
      <c r="X128" s="31" t="s">
        <v>175</v>
      </c>
      <c r="Y128" s="31" t="s">
        <v>201</v>
      </c>
      <c r="Z128" s="31" t="s">
        <v>37</v>
      </c>
      <c r="AA128" s="32" t="s">
        <v>5</v>
      </c>
      <c r="AB128" s="34">
        <f t="shared" si="15"/>
        <v>45000</v>
      </c>
      <c r="AC128" s="33">
        <v>8000</v>
      </c>
      <c r="AE128" s="40">
        <f t="shared" si="16"/>
        <v>0.17777777777777778</v>
      </c>
      <c r="AF128" s="31">
        <f t="shared" si="19"/>
        <v>53000</v>
      </c>
    </row>
    <row r="129" spans="1:33" x14ac:dyDescent="0.25">
      <c r="A129" s="21"/>
      <c r="B129" s="21">
        <v>11052018</v>
      </c>
      <c r="C129" s="21" t="s">
        <v>197</v>
      </c>
      <c r="D129" s="21"/>
      <c r="E129" s="22">
        <v>0</v>
      </c>
      <c r="F129" s="23" t="s">
        <v>174</v>
      </c>
      <c r="G129" s="23" t="s">
        <v>174</v>
      </c>
      <c r="H129" s="23" t="s">
        <v>174</v>
      </c>
      <c r="I129" s="23" t="s">
        <v>174</v>
      </c>
      <c r="J129" s="22">
        <v>0</v>
      </c>
      <c r="K129" s="23" t="s">
        <v>174</v>
      </c>
      <c r="L129" s="23">
        <v>0</v>
      </c>
      <c r="M129" s="23"/>
      <c r="N129" s="23" t="s">
        <v>175</v>
      </c>
      <c r="O129" s="23" t="s">
        <v>7</v>
      </c>
      <c r="P129" s="23" t="s">
        <v>20</v>
      </c>
      <c r="Q129" s="23" t="s">
        <v>198</v>
      </c>
      <c r="R129" s="23">
        <f t="shared" si="13"/>
        <v>40000</v>
      </c>
      <c r="S129" s="22">
        <v>5000</v>
      </c>
      <c r="T129" s="23"/>
      <c r="U129" s="41">
        <f t="shared" si="14"/>
        <v>0.125</v>
      </c>
      <c r="V129" s="23">
        <v>45000</v>
      </c>
      <c r="W129" s="30"/>
      <c r="X129" s="31" t="s">
        <v>174</v>
      </c>
      <c r="AB129" s="34">
        <f t="shared" si="15"/>
        <v>45000</v>
      </c>
      <c r="AF129" s="31">
        <f t="shared" si="19"/>
        <v>45000</v>
      </c>
    </row>
    <row r="130" spans="1:33" x14ac:dyDescent="0.25">
      <c r="A130" s="21"/>
      <c r="B130" s="21">
        <v>11102018</v>
      </c>
      <c r="C130" s="21" t="s">
        <v>199</v>
      </c>
      <c r="D130" s="21"/>
      <c r="E130" s="22">
        <v>0</v>
      </c>
      <c r="F130" s="23" t="s">
        <v>174</v>
      </c>
      <c r="G130" s="23" t="s">
        <v>174</v>
      </c>
      <c r="H130" s="23" t="s">
        <v>174</v>
      </c>
      <c r="I130" s="23" t="s">
        <v>174</v>
      </c>
      <c r="J130" s="22">
        <v>0</v>
      </c>
      <c r="K130" s="23" t="s">
        <v>174</v>
      </c>
      <c r="L130" s="23">
        <v>0</v>
      </c>
      <c r="M130" s="23"/>
      <c r="N130" s="23" t="s">
        <v>175</v>
      </c>
      <c r="O130" s="23" t="s">
        <v>7</v>
      </c>
      <c r="P130" s="23" t="s">
        <v>20</v>
      </c>
      <c r="Q130" s="23" t="s">
        <v>4</v>
      </c>
      <c r="R130" s="23">
        <f t="shared" si="13"/>
        <v>30000</v>
      </c>
      <c r="S130" s="22">
        <v>5000</v>
      </c>
      <c r="T130" s="23"/>
      <c r="U130" s="41">
        <f t="shared" si="14"/>
        <v>0.16666666666666666</v>
      </c>
      <c r="V130" s="23">
        <v>35000</v>
      </c>
      <c r="W130" s="30"/>
      <c r="X130" s="31" t="s">
        <v>174</v>
      </c>
      <c r="AB130" s="34">
        <f t="shared" si="15"/>
        <v>35000</v>
      </c>
      <c r="AF130" s="31">
        <f t="shared" si="19"/>
        <v>35000</v>
      </c>
    </row>
    <row r="131" spans="1:33" x14ac:dyDescent="0.25">
      <c r="A131" s="21"/>
      <c r="B131" s="21">
        <v>30532016</v>
      </c>
      <c r="C131" s="21" t="s">
        <v>200</v>
      </c>
      <c r="D131" s="21"/>
      <c r="E131" s="22">
        <v>0</v>
      </c>
      <c r="F131" s="23" t="s">
        <v>174</v>
      </c>
      <c r="G131" s="23" t="s">
        <v>174</v>
      </c>
      <c r="H131" s="23" t="s">
        <v>174</v>
      </c>
      <c r="I131" s="23" t="s">
        <v>174</v>
      </c>
      <c r="J131" s="22">
        <v>0</v>
      </c>
      <c r="K131" s="23" t="s">
        <v>174</v>
      </c>
      <c r="L131" s="23">
        <v>0</v>
      </c>
      <c r="M131" s="23"/>
      <c r="N131" s="23" t="s">
        <v>175</v>
      </c>
      <c r="O131" s="23" t="s">
        <v>201</v>
      </c>
      <c r="P131" s="23" t="s">
        <v>20</v>
      </c>
      <c r="Q131" s="23" t="s">
        <v>6</v>
      </c>
      <c r="R131" s="23">
        <f t="shared" ref="R131:R194" si="20">V131-S131</f>
        <v>23000</v>
      </c>
      <c r="S131" s="22">
        <v>3000</v>
      </c>
      <c r="T131" s="23"/>
      <c r="U131" s="41">
        <f t="shared" ref="U131:U181" si="21">S131/R131</f>
        <v>0.13043478260869565</v>
      </c>
      <c r="V131" s="23">
        <v>26000</v>
      </c>
      <c r="W131" s="30"/>
      <c r="X131" s="31" t="s">
        <v>174</v>
      </c>
      <c r="AB131" s="34">
        <f t="shared" ref="AB131:AB194" si="22">AF131-AC131</f>
        <v>26000</v>
      </c>
      <c r="AF131" s="31">
        <f t="shared" si="19"/>
        <v>26000</v>
      </c>
    </row>
    <row r="132" spans="1:33" x14ac:dyDescent="0.25">
      <c r="A132" s="21"/>
      <c r="B132" s="21">
        <v>11082018</v>
      </c>
      <c r="C132" s="21" t="s">
        <v>202</v>
      </c>
      <c r="D132" s="21"/>
      <c r="E132" s="22">
        <v>0</v>
      </c>
      <c r="F132" s="23" t="s">
        <v>174</v>
      </c>
      <c r="G132" s="23" t="s">
        <v>174</v>
      </c>
      <c r="H132" s="23" t="s">
        <v>174</v>
      </c>
      <c r="I132" s="23" t="s">
        <v>174</v>
      </c>
      <c r="J132" s="22">
        <v>0</v>
      </c>
      <c r="K132" s="23" t="s">
        <v>174</v>
      </c>
      <c r="L132" s="23">
        <v>0</v>
      </c>
      <c r="M132" s="23"/>
      <c r="N132" s="23" t="s">
        <v>175</v>
      </c>
      <c r="O132" s="23" t="s">
        <v>7</v>
      </c>
      <c r="P132" s="23" t="s">
        <v>20</v>
      </c>
      <c r="Q132" s="23" t="s">
        <v>203</v>
      </c>
      <c r="R132" s="23">
        <f t="shared" si="20"/>
        <v>10000</v>
      </c>
      <c r="S132" s="22">
        <v>5000</v>
      </c>
      <c r="T132" s="23"/>
      <c r="U132" s="41">
        <f t="shared" si="21"/>
        <v>0.5</v>
      </c>
      <c r="V132" s="23">
        <v>15000</v>
      </c>
      <c r="W132" s="30"/>
      <c r="X132" s="31" t="s">
        <v>175</v>
      </c>
      <c r="Y132" s="31" t="s">
        <v>7</v>
      </c>
      <c r="Z132" s="31" t="s">
        <v>20</v>
      </c>
      <c r="AA132" s="31" t="s">
        <v>203</v>
      </c>
      <c r="AB132" s="34">
        <f t="shared" si="22"/>
        <v>15000</v>
      </c>
      <c r="AC132" s="33">
        <v>5000</v>
      </c>
      <c r="AE132" s="40">
        <f t="shared" ref="AE132:AE186" si="23">AC132/AB132</f>
        <v>0.33333333333333331</v>
      </c>
      <c r="AF132" s="31">
        <f t="shared" si="19"/>
        <v>20000</v>
      </c>
    </row>
    <row r="133" spans="1:33" x14ac:dyDescent="0.25">
      <c r="A133" s="21"/>
      <c r="B133" s="21">
        <v>21422018</v>
      </c>
      <c r="C133" s="21" t="s">
        <v>204</v>
      </c>
      <c r="D133" s="21"/>
      <c r="E133" s="22">
        <v>0</v>
      </c>
      <c r="F133" s="23" t="s">
        <v>174</v>
      </c>
      <c r="G133" s="23" t="s">
        <v>174</v>
      </c>
      <c r="H133" s="23" t="s">
        <v>174</v>
      </c>
      <c r="I133" s="23" t="s">
        <v>174</v>
      </c>
      <c r="J133" s="22">
        <v>0</v>
      </c>
      <c r="K133" s="23" t="s">
        <v>174</v>
      </c>
      <c r="L133" s="23">
        <v>0</v>
      </c>
      <c r="M133" s="23"/>
      <c r="N133" s="23" t="s">
        <v>175</v>
      </c>
      <c r="O133" s="23" t="s">
        <v>7</v>
      </c>
      <c r="P133" s="23" t="s">
        <v>20</v>
      </c>
      <c r="Q133" s="23" t="s">
        <v>205</v>
      </c>
      <c r="R133" s="23">
        <f t="shared" si="20"/>
        <v>14000</v>
      </c>
      <c r="S133" s="22">
        <v>2000</v>
      </c>
      <c r="T133" s="23"/>
      <c r="U133" s="41">
        <f t="shared" si="21"/>
        <v>0.14285714285714285</v>
      </c>
      <c r="V133" s="23">
        <v>16000</v>
      </c>
      <c r="W133" s="30"/>
      <c r="X133" s="31" t="s">
        <v>175</v>
      </c>
      <c r="Y133" s="31" t="s">
        <v>7</v>
      </c>
      <c r="Z133" s="31" t="s">
        <v>282</v>
      </c>
      <c r="AA133" s="32" t="s">
        <v>205</v>
      </c>
      <c r="AB133" s="34">
        <f t="shared" si="22"/>
        <v>16000</v>
      </c>
      <c r="AC133" s="33">
        <v>2000</v>
      </c>
      <c r="AE133" s="40">
        <f t="shared" si="23"/>
        <v>0.125</v>
      </c>
      <c r="AF133" s="31">
        <f t="shared" si="19"/>
        <v>18000</v>
      </c>
    </row>
    <row r="134" spans="1:33" x14ac:dyDescent="0.25">
      <c r="A134" s="21"/>
      <c r="B134" s="21">
        <v>21392018</v>
      </c>
      <c r="C134" s="21" t="s">
        <v>57</v>
      </c>
      <c r="D134" s="21"/>
      <c r="E134" s="22">
        <v>0</v>
      </c>
      <c r="F134" s="23" t="s">
        <v>174</v>
      </c>
      <c r="G134" s="23" t="s">
        <v>174</v>
      </c>
      <c r="H134" s="23" t="s">
        <v>174</v>
      </c>
      <c r="I134" s="23" t="s">
        <v>174</v>
      </c>
      <c r="J134" s="22">
        <v>0</v>
      </c>
      <c r="K134" s="23" t="s">
        <v>174</v>
      </c>
      <c r="L134" s="23">
        <v>0</v>
      </c>
      <c r="M134" s="23"/>
      <c r="N134" s="23" t="s">
        <v>175</v>
      </c>
      <c r="O134" s="23" t="s">
        <v>7</v>
      </c>
      <c r="P134" s="23" t="s">
        <v>20</v>
      </c>
      <c r="Q134" s="23" t="s">
        <v>28</v>
      </c>
      <c r="R134" s="23">
        <f t="shared" si="20"/>
        <v>10000</v>
      </c>
      <c r="S134" s="22">
        <v>4000</v>
      </c>
      <c r="T134" s="23"/>
      <c r="U134" s="41">
        <f t="shared" si="21"/>
        <v>0.4</v>
      </c>
      <c r="V134" s="23">
        <v>14000</v>
      </c>
      <c r="W134" s="30" t="s">
        <v>257</v>
      </c>
      <c r="X134" s="31" t="s">
        <v>175</v>
      </c>
      <c r="Y134" s="31" t="s">
        <v>201</v>
      </c>
      <c r="Z134" s="31" t="s">
        <v>20</v>
      </c>
      <c r="AA134" s="32" t="s">
        <v>27</v>
      </c>
      <c r="AB134" s="34">
        <f t="shared" si="22"/>
        <v>14000</v>
      </c>
      <c r="AC134" s="33">
        <v>2000</v>
      </c>
      <c r="AE134" s="40">
        <f t="shared" si="23"/>
        <v>0.14285714285714285</v>
      </c>
      <c r="AF134" s="31">
        <f t="shared" si="19"/>
        <v>16000</v>
      </c>
    </row>
    <row r="135" spans="1:33" x14ac:dyDescent="0.25">
      <c r="A135" s="21"/>
      <c r="B135" s="21">
        <v>21382018</v>
      </c>
      <c r="C135" s="21" t="s">
        <v>206</v>
      </c>
      <c r="D135" s="21"/>
      <c r="E135" s="22">
        <v>0</v>
      </c>
      <c r="F135" s="23" t="s">
        <v>174</v>
      </c>
      <c r="G135" s="23" t="s">
        <v>174</v>
      </c>
      <c r="H135" s="23" t="s">
        <v>174</v>
      </c>
      <c r="I135" s="23" t="s">
        <v>174</v>
      </c>
      <c r="J135" s="22">
        <v>0</v>
      </c>
      <c r="K135" s="23" t="s">
        <v>174</v>
      </c>
      <c r="L135" s="23">
        <v>0</v>
      </c>
      <c r="M135" s="23"/>
      <c r="N135" s="23" t="s">
        <v>175</v>
      </c>
      <c r="O135" s="23" t="s">
        <v>7</v>
      </c>
      <c r="P135" s="23" t="s">
        <v>20</v>
      </c>
      <c r="Q135" s="23" t="s">
        <v>28</v>
      </c>
      <c r="R135" s="23">
        <f t="shared" si="20"/>
        <v>10000</v>
      </c>
      <c r="S135" s="22">
        <v>2000</v>
      </c>
      <c r="T135" s="23"/>
      <c r="U135" s="41">
        <f t="shared" si="21"/>
        <v>0.2</v>
      </c>
      <c r="V135" s="23">
        <v>12000</v>
      </c>
      <c r="W135" s="30"/>
      <c r="X135" s="31" t="s">
        <v>175</v>
      </c>
      <c r="Y135" s="31" t="s">
        <v>7</v>
      </c>
      <c r="Z135" s="31" t="s">
        <v>20</v>
      </c>
      <c r="AA135" s="32" t="s">
        <v>28</v>
      </c>
      <c r="AB135" s="34">
        <f t="shared" si="22"/>
        <v>12000</v>
      </c>
      <c r="AC135" s="33">
        <v>2000</v>
      </c>
      <c r="AE135" s="40">
        <f t="shared" si="23"/>
        <v>0.16666666666666666</v>
      </c>
      <c r="AF135" s="31">
        <f t="shared" si="19"/>
        <v>14000</v>
      </c>
    </row>
    <row r="136" spans="1:33" x14ac:dyDescent="0.25">
      <c r="A136" s="21"/>
      <c r="B136" s="21">
        <v>21512019</v>
      </c>
      <c r="C136" s="21" t="s">
        <v>208</v>
      </c>
      <c r="D136" s="21"/>
      <c r="E136" s="22">
        <v>0</v>
      </c>
      <c r="F136" s="23" t="s">
        <v>174</v>
      </c>
      <c r="G136" s="23" t="s">
        <v>174</v>
      </c>
      <c r="H136" s="23" t="s">
        <v>174</v>
      </c>
      <c r="I136" s="23" t="s">
        <v>174</v>
      </c>
      <c r="J136" s="22">
        <v>0</v>
      </c>
      <c r="K136" s="23" t="s">
        <v>174</v>
      </c>
      <c r="L136" s="23">
        <v>0</v>
      </c>
      <c r="M136" s="23"/>
      <c r="N136" s="23" t="s">
        <v>175</v>
      </c>
      <c r="O136" s="23" t="s">
        <v>7</v>
      </c>
      <c r="P136" s="23" t="s">
        <v>20</v>
      </c>
      <c r="Q136" s="23" t="s">
        <v>207</v>
      </c>
      <c r="R136" s="23">
        <f t="shared" si="20"/>
        <v>9000</v>
      </c>
      <c r="S136" s="22">
        <v>1000</v>
      </c>
      <c r="T136" s="23"/>
      <c r="U136" s="41">
        <f t="shared" si="21"/>
        <v>0.1111111111111111</v>
      </c>
      <c r="V136" s="23">
        <v>10000</v>
      </c>
      <c r="W136" s="30"/>
      <c r="X136" s="31" t="s">
        <v>175</v>
      </c>
      <c r="Y136" s="31" t="s">
        <v>7</v>
      </c>
      <c r="Z136" s="31" t="s">
        <v>20</v>
      </c>
      <c r="AA136" s="32" t="s">
        <v>207</v>
      </c>
      <c r="AB136" s="34">
        <f t="shared" si="22"/>
        <v>10000</v>
      </c>
      <c r="AC136" s="33">
        <v>2000</v>
      </c>
      <c r="AE136" s="40">
        <f t="shared" si="23"/>
        <v>0.2</v>
      </c>
      <c r="AF136" s="31">
        <f t="shared" si="19"/>
        <v>12000</v>
      </c>
    </row>
    <row r="137" spans="1:33" x14ac:dyDescent="0.25">
      <c r="A137" s="21"/>
      <c r="B137" s="21">
        <v>21412018</v>
      </c>
      <c r="C137" s="21" t="s">
        <v>209</v>
      </c>
      <c r="D137" s="21"/>
      <c r="E137" s="22">
        <v>0</v>
      </c>
      <c r="F137" s="23" t="s">
        <v>174</v>
      </c>
      <c r="G137" s="23" t="s">
        <v>174</v>
      </c>
      <c r="H137" s="23" t="s">
        <v>174</v>
      </c>
      <c r="I137" s="23" t="s">
        <v>174</v>
      </c>
      <c r="J137" s="22">
        <v>0</v>
      </c>
      <c r="K137" s="23" t="s">
        <v>174</v>
      </c>
      <c r="L137" s="23">
        <v>0</v>
      </c>
      <c r="M137" s="23"/>
      <c r="N137" s="23" t="s">
        <v>175</v>
      </c>
      <c r="O137" s="23" t="s">
        <v>7</v>
      </c>
      <c r="P137" s="23" t="s">
        <v>20</v>
      </c>
      <c r="Q137" s="23" t="s">
        <v>207</v>
      </c>
      <c r="R137" s="23">
        <f t="shared" si="20"/>
        <v>10000</v>
      </c>
      <c r="S137" s="22">
        <v>3000</v>
      </c>
      <c r="T137" s="23"/>
      <c r="U137" s="41">
        <f t="shared" si="21"/>
        <v>0.3</v>
      </c>
      <c r="V137" s="23">
        <v>13000</v>
      </c>
      <c r="W137" s="30"/>
      <c r="X137" s="31" t="s">
        <v>174</v>
      </c>
      <c r="AB137" s="34">
        <f t="shared" si="22"/>
        <v>13000</v>
      </c>
      <c r="AE137" s="40">
        <f t="shared" si="23"/>
        <v>0</v>
      </c>
      <c r="AF137" s="31">
        <f t="shared" si="19"/>
        <v>13000</v>
      </c>
    </row>
    <row r="138" spans="1:33" x14ac:dyDescent="0.25">
      <c r="A138" s="21"/>
      <c r="B138" s="21">
        <v>21252018</v>
      </c>
      <c r="C138" s="21" t="s">
        <v>210</v>
      </c>
      <c r="D138" s="21"/>
      <c r="E138" s="22"/>
      <c r="F138" s="23" t="s">
        <v>175</v>
      </c>
      <c r="G138" s="23" t="s">
        <v>7</v>
      </c>
      <c r="H138" s="23" t="s">
        <v>211</v>
      </c>
      <c r="I138" s="23" t="s">
        <v>212</v>
      </c>
      <c r="J138" s="22">
        <v>2000</v>
      </c>
      <c r="K138" s="23"/>
      <c r="L138" s="23">
        <v>18000</v>
      </c>
      <c r="M138" s="23"/>
      <c r="N138" s="23" t="s">
        <v>175</v>
      </c>
      <c r="O138" s="23" t="s">
        <v>7</v>
      </c>
      <c r="P138" s="23" t="s">
        <v>211</v>
      </c>
      <c r="Q138" s="23" t="s">
        <v>212</v>
      </c>
      <c r="R138" s="23">
        <f t="shared" si="20"/>
        <v>18000</v>
      </c>
      <c r="S138" s="22">
        <v>1000</v>
      </c>
      <c r="T138" s="23"/>
      <c r="U138" s="41">
        <f t="shared" si="21"/>
        <v>5.5555555555555552E-2</v>
      </c>
      <c r="V138" s="10">
        <f>L138+S138</f>
        <v>19000</v>
      </c>
      <c r="W138" s="30" t="s">
        <v>213</v>
      </c>
      <c r="X138" s="31" t="s">
        <v>175</v>
      </c>
      <c r="Y138" s="31" t="s">
        <v>7</v>
      </c>
      <c r="Z138" s="31" t="s">
        <v>211</v>
      </c>
      <c r="AA138" s="32" t="s">
        <v>212</v>
      </c>
      <c r="AB138" s="34">
        <f t="shared" si="22"/>
        <v>19000</v>
      </c>
      <c r="AC138" s="33">
        <v>1000</v>
      </c>
      <c r="AE138" s="40">
        <f t="shared" si="23"/>
        <v>5.2631578947368418E-2</v>
      </c>
      <c r="AF138" s="31">
        <f t="shared" si="19"/>
        <v>20000</v>
      </c>
      <c r="AG138" s="32" t="s">
        <v>285</v>
      </c>
    </row>
    <row r="139" spans="1:33" x14ac:dyDescent="0.25">
      <c r="A139" s="21"/>
      <c r="B139" s="21">
        <v>20522011</v>
      </c>
      <c r="C139" s="21" t="s">
        <v>214</v>
      </c>
      <c r="D139" s="21"/>
      <c r="E139" s="22"/>
      <c r="F139" s="23" t="s">
        <v>175</v>
      </c>
      <c r="G139" s="23" t="s">
        <v>7</v>
      </c>
      <c r="H139" s="23" t="s">
        <v>211</v>
      </c>
      <c r="I139" s="23" t="s">
        <v>212</v>
      </c>
      <c r="J139" s="22">
        <v>1000</v>
      </c>
      <c r="K139" s="23"/>
      <c r="L139" s="23">
        <v>17000</v>
      </c>
      <c r="M139" s="23"/>
      <c r="N139" s="23" t="s">
        <v>175</v>
      </c>
      <c r="O139" s="23" t="s">
        <v>7</v>
      </c>
      <c r="P139" s="23" t="s">
        <v>211</v>
      </c>
      <c r="Q139" s="23" t="s">
        <v>212</v>
      </c>
      <c r="R139" s="23">
        <f t="shared" si="20"/>
        <v>17000</v>
      </c>
      <c r="S139" s="22">
        <v>2000</v>
      </c>
      <c r="T139" s="23"/>
      <c r="U139" s="41">
        <f t="shared" si="21"/>
        <v>0.11764705882352941</v>
      </c>
      <c r="V139" s="10">
        <f>L139+S139</f>
        <v>19000</v>
      </c>
      <c r="W139" s="30" t="s">
        <v>213</v>
      </c>
      <c r="X139" s="31" t="s">
        <v>175</v>
      </c>
      <c r="Y139" s="31" t="s">
        <v>7</v>
      </c>
      <c r="Z139" s="31" t="s">
        <v>211</v>
      </c>
      <c r="AA139" s="32" t="s">
        <v>212</v>
      </c>
      <c r="AB139" s="34">
        <f t="shared" si="22"/>
        <v>19000</v>
      </c>
      <c r="AC139" s="33">
        <v>1000</v>
      </c>
      <c r="AE139" s="40">
        <f t="shared" si="23"/>
        <v>5.2631578947368418E-2</v>
      </c>
      <c r="AF139" s="31">
        <f t="shared" si="19"/>
        <v>20000</v>
      </c>
      <c r="AG139" s="32" t="s">
        <v>285</v>
      </c>
    </row>
    <row r="140" spans="1:33" x14ac:dyDescent="0.25">
      <c r="A140" s="21"/>
      <c r="B140" s="21">
        <v>21242018</v>
      </c>
      <c r="C140" s="21" t="s">
        <v>215</v>
      </c>
      <c r="D140" s="21"/>
      <c r="E140" s="22"/>
      <c r="F140" s="23" t="s">
        <v>175</v>
      </c>
      <c r="G140" s="23" t="s">
        <v>7</v>
      </c>
      <c r="H140" s="23" t="s">
        <v>211</v>
      </c>
      <c r="I140" s="23" t="s">
        <v>212</v>
      </c>
      <c r="J140" s="22">
        <v>2000</v>
      </c>
      <c r="K140" s="23"/>
      <c r="L140" s="23">
        <v>17000</v>
      </c>
      <c r="M140" s="23"/>
      <c r="N140" s="23" t="s">
        <v>175</v>
      </c>
      <c r="O140" s="23" t="s">
        <v>7</v>
      </c>
      <c r="P140" s="23" t="s">
        <v>211</v>
      </c>
      <c r="Q140" s="23" t="s">
        <v>212</v>
      </c>
      <c r="R140" s="23">
        <f t="shared" si="20"/>
        <v>17000</v>
      </c>
      <c r="S140" s="22">
        <v>2000</v>
      </c>
      <c r="T140" s="23"/>
      <c r="U140" s="41">
        <f t="shared" si="21"/>
        <v>0.11764705882352941</v>
      </c>
      <c r="V140" s="10">
        <f>L140+S140</f>
        <v>19000</v>
      </c>
      <c r="W140" s="30" t="s">
        <v>213</v>
      </c>
      <c r="X140" s="31" t="s">
        <v>175</v>
      </c>
      <c r="Y140" s="31" t="s">
        <v>7</v>
      </c>
      <c r="Z140" s="31" t="s">
        <v>211</v>
      </c>
      <c r="AA140" s="32" t="s">
        <v>212</v>
      </c>
      <c r="AB140" s="34">
        <f t="shared" si="22"/>
        <v>19000</v>
      </c>
      <c r="AC140" s="33">
        <v>1000</v>
      </c>
      <c r="AE140" s="40">
        <f t="shared" si="23"/>
        <v>5.2631578947368418E-2</v>
      </c>
      <c r="AF140" s="31">
        <f t="shared" si="19"/>
        <v>20000</v>
      </c>
      <c r="AG140" s="32" t="s">
        <v>285</v>
      </c>
    </row>
    <row r="141" spans="1:33" x14ac:dyDescent="0.25">
      <c r="A141" s="21"/>
      <c r="B141" s="21">
        <v>10612015</v>
      </c>
      <c r="C141" s="21" t="s">
        <v>216</v>
      </c>
      <c r="D141" s="21"/>
      <c r="E141" s="22"/>
      <c r="F141" s="23" t="s">
        <v>175</v>
      </c>
      <c r="G141" s="23" t="s">
        <v>7</v>
      </c>
      <c r="H141" s="23" t="s">
        <v>211</v>
      </c>
      <c r="I141" s="23" t="s">
        <v>212</v>
      </c>
      <c r="J141" s="22">
        <v>1000</v>
      </c>
      <c r="K141" s="23"/>
      <c r="L141" s="23">
        <v>17000</v>
      </c>
      <c r="M141" s="23"/>
      <c r="N141" s="23" t="s">
        <v>175</v>
      </c>
      <c r="O141" s="23" t="s">
        <v>7</v>
      </c>
      <c r="P141" s="23" t="s">
        <v>211</v>
      </c>
      <c r="Q141" s="23" t="s">
        <v>212</v>
      </c>
      <c r="R141" s="23">
        <f t="shared" si="20"/>
        <v>17000</v>
      </c>
      <c r="S141" s="22">
        <v>2000</v>
      </c>
      <c r="T141" s="23"/>
      <c r="U141" s="41">
        <f t="shared" si="21"/>
        <v>0.11764705882352941</v>
      </c>
      <c r="V141" s="10">
        <f>L141+S141</f>
        <v>19000</v>
      </c>
      <c r="W141" s="30" t="s">
        <v>213</v>
      </c>
      <c r="X141" s="31" t="s">
        <v>175</v>
      </c>
      <c r="Y141" s="31" t="s">
        <v>7</v>
      </c>
      <c r="Z141" s="31" t="s">
        <v>211</v>
      </c>
      <c r="AA141" s="32" t="s">
        <v>212</v>
      </c>
      <c r="AB141" s="34">
        <f t="shared" si="22"/>
        <v>19000</v>
      </c>
      <c r="AC141" s="33">
        <v>1000</v>
      </c>
      <c r="AE141" s="40">
        <f t="shared" si="23"/>
        <v>5.2631578947368418E-2</v>
      </c>
      <c r="AF141" s="31">
        <f t="shared" si="19"/>
        <v>20000</v>
      </c>
      <c r="AG141" s="32" t="s">
        <v>285</v>
      </c>
    </row>
    <row r="142" spans="1:33" x14ac:dyDescent="0.25">
      <c r="A142" s="21"/>
      <c r="B142" s="21">
        <v>11152018</v>
      </c>
      <c r="C142" s="21" t="s">
        <v>217</v>
      </c>
      <c r="D142" s="21"/>
      <c r="E142" s="22"/>
      <c r="F142" s="23" t="s">
        <v>175</v>
      </c>
      <c r="G142" s="23" t="s">
        <v>7</v>
      </c>
      <c r="H142" s="23" t="s">
        <v>211</v>
      </c>
      <c r="I142" s="23" t="s">
        <v>212</v>
      </c>
      <c r="J142" s="22">
        <v>0</v>
      </c>
      <c r="K142" s="23"/>
      <c r="L142" s="23">
        <v>17000</v>
      </c>
      <c r="M142" s="23"/>
      <c r="N142" s="23" t="s">
        <v>175</v>
      </c>
      <c r="O142" s="23" t="s">
        <v>7</v>
      </c>
      <c r="P142" s="23" t="s">
        <v>211</v>
      </c>
      <c r="Q142" s="23" t="s">
        <v>212</v>
      </c>
      <c r="R142" s="23">
        <f t="shared" si="20"/>
        <v>17000</v>
      </c>
      <c r="S142" s="22">
        <v>1000</v>
      </c>
      <c r="T142" s="23"/>
      <c r="U142" s="41">
        <f t="shared" si="21"/>
        <v>5.8823529411764705E-2</v>
      </c>
      <c r="V142" s="23">
        <f>L142+S142</f>
        <v>18000</v>
      </c>
      <c r="W142" s="30" t="s">
        <v>218</v>
      </c>
      <c r="X142" s="31" t="s">
        <v>174</v>
      </c>
      <c r="AB142" s="34">
        <f t="shared" si="22"/>
        <v>18000</v>
      </c>
      <c r="AF142" s="31">
        <f t="shared" si="19"/>
        <v>18000</v>
      </c>
    </row>
    <row r="143" spans="1:33" x14ac:dyDescent="0.25">
      <c r="A143" s="21"/>
      <c r="B143" s="21">
        <v>11282018</v>
      </c>
      <c r="C143" s="21" t="s">
        <v>219</v>
      </c>
      <c r="D143" s="21"/>
      <c r="E143" s="22">
        <v>0</v>
      </c>
      <c r="F143" s="23" t="s">
        <v>174</v>
      </c>
      <c r="G143" s="23" t="s">
        <v>174</v>
      </c>
      <c r="H143" s="23" t="s">
        <v>174</v>
      </c>
      <c r="I143" s="23" t="s">
        <v>174</v>
      </c>
      <c r="J143" s="22">
        <v>0</v>
      </c>
      <c r="K143" s="23" t="s">
        <v>174</v>
      </c>
      <c r="L143" s="23">
        <v>0</v>
      </c>
      <c r="M143" s="23"/>
      <c r="N143" s="23" t="s">
        <v>175</v>
      </c>
      <c r="O143" s="23" t="s">
        <v>7</v>
      </c>
      <c r="P143" s="23" t="s">
        <v>37</v>
      </c>
      <c r="Q143" s="23" t="s">
        <v>21</v>
      </c>
      <c r="R143" s="23">
        <f t="shared" si="20"/>
        <v>42000</v>
      </c>
      <c r="S143" s="22">
        <v>0</v>
      </c>
      <c r="T143" s="23"/>
      <c r="U143" s="41">
        <f t="shared" si="21"/>
        <v>0</v>
      </c>
      <c r="V143" s="23">
        <v>42000</v>
      </c>
      <c r="W143" s="30"/>
      <c r="X143" s="31" t="s">
        <v>175</v>
      </c>
      <c r="Y143" s="31" t="s">
        <v>7</v>
      </c>
      <c r="Z143" s="31" t="s">
        <v>131</v>
      </c>
      <c r="AA143" s="32" t="s">
        <v>21</v>
      </c>
      <c r="AB143" s="34">
        <f t="shared" si="22"/>
        <v>42000</v>
      </c>
      <c r="AC143" s="33">
        <v>8000</v>
      </c>
      <c r="AE143" s="40">
        <f t="shared" si="23"/>
        <v>0.19047619047619047</v>
      </c>
      <c r="AF143" s="31">
        <f t="shared" si="19"/>
        <v>50000</v>
      </c>
    </row>
    <row r="144" spans="1:33" x14ac:dyDescent="0.25">
      <c r="A144" s="21"/>
      <c r="B144" s="21">
        <v>21452019</v>
      </c>
      <c r="C144" s="21" t="s">
        <v>220</v>
      </c>
      <c r="D144" s="21"/>
      <c r="E144" s="22">
        <v>0</v>
      </c>
      <c r="F144" s="23" t="s">
        <v>174</v>
      </c>
      <c r="G144" s="23" t="s">
        <v>174</v>
      </c>
      <c r="H144" s="23" t="s">
        <v>174</v>
      </c>
      <c r="I144" s="23" t="s">
        <v>174</v>
      </c>
      <c r="J144" s="22">
        <v>0</v>
      </c>
      <c r="K144" s="23" t="s">
        <v>174</v>
      </c>
      <c r="L144" s="23">
        <v>0</v>
      </c>
      <c r="M144" s="23"/>
      <c r="N144" s="23" t="s">
        <v>175</v>
      </c>
      <c r="O144" s="23" t="s">
        <v>7</v>
      </c>
      <c r="P144" s="23" t="s">
        <v>37</v>
      </c>
      <c r="Q144" s="23" t="s">
        <v>221</v>
      </c>
      <c r="R144" s="23">
        <f t="shared" si="20"/>
        <v>14000</v>
      </c>
      <c r="S144" s="22">
        <v>2000</v>
      </c>
      <c r="T144" s="23"/>
      <c r="U144" s="41">
        <f t="shared" si="21"/>
        <v>0.14285714285714285</v>
      </c>
      <c r="V144" s="23">
        <v>16000</v>
      </c>
      <c r="W144" s="30"/>
      <c r="X144" s="31" t="s">
        <v>175</v>
      </c>
      <c r="Y144" s="31" t="s">
        <v>7</v>
      </c>
      <c r="Z144" s="31" t="s">
        <v>37</v>
      </c>
      <c r="AA144" s="32" t="s">
        <v>221</v>
      </c>
      <c r="AB144" s="34">
        <f t="shared" si="22"/>
        <v>16000</v>
      </c>
      <c r="AC144" s="33">
        <v>5000</v>
      </c>
      <c r="AE144" s="40">
        <f t="shared" si="23"/>
        <v>0.3125</v>
      </c>
      <c r="AF144" s="31">
        <f t="shared" si="19"/>
        <v>21000</v>
      </c>
    </row>
    <row r="145" spans="1:32" x14ac:dyDescent="0.25">
      <c r="A145" s="21"/>
      <c r="B145" s="21">
        <v>21472019</v>
      </c>
      <c r="C145" s="21" t="s">
        <v>222</v>
      </c>
      <c r="D145" s="21"/>
      <c r="E145" s="22">
        <v>0</v>
      </c>
      <c r="F145" s="23" t="s">
        <v>174</v>
      </c>
      <c r="G145" s="23" t="s">
        <v>174</v>
      </c>
      <c r="H145" s="23" t="s">
        <v>174</v>
      </c>
      <c r="I145" s="23" t="s">
        <v>174</v>
      </c>
      <c r="J145" s="22">
        <v>0</v>
      </c>
      <c r="K145" s="23" t="s">
        <v>174</v>
      </c>
      <c r="L145" s="23">
        <v>0</v>
      </c>
      <c r="M145" s="23"/>
      <c r="N145" s="23" t="s">
        <v>175</v>
      </c>
      <c r="O145" s="23" t="s">
        <v>7</v>
      </c>
      <c r="P145" s="23" t="s">
        <v>32</v>
      </c>
      <c r="Q145" s="23" t="s">
        <v>5</v>
      </c>
      <c r="R145" s="23">
        <f t="shared" si="20"/>
        <v>35000</v>
      </c>
      <c r="S145" s="22">
        <v>0</v>
      </c>
      <c r="T145" s="23"/>
      <c r="U145" s="41">
        <f t="shared" si="21"/>
        <v>0</v>
      </c>
      <c r="V145" s="23">
        <v>35000</v>
      </c>
      <c r="W145" s="30"/>
      <c r="X145" s="31" t="s">
        <v>175</v>
      </c>
      <c r="Y145" s="31" t="s">
        <v>7</v>
      </c>
      <c r="Z145" s="31" t="s">
        <v>32</v>
      </c>
      <c r="AA145" s="32" t="s">
        <v>5</v>
      </c>
      <c r="AB145" s="34">
        <f t="shared" si="22"/>
        <v>35000</v>
      </c>
      <c r="AC145" s="33">
        <v>6000</v>
      </c>
      <c r="AE145" s="40">
        <f t="shared" si="23"/>
        <v>0.17142857142857143</v>
      </c>
      <c r="AF145" s="31">
        <f t="shared" si="19"/>
        <v>41000</v>
      </c>
    </row>
    <row r="146" spans="1:32" x14ac:dyDescent="0.25">
      <c r="A146" s="21"/>
      <c r="B146" s="21">
        <v>11302019</v>
      </c>
      <c r="C146" s="21" t="s">
        <v>223</v>
      </c>
      <c r="D146" s="21"/>
      <c r="E146" s="22">
        <v>0</v>
      </c>
      <c r="F146" s="23" t="s">
        <v>174</v>
      </c>
      <c r="G146" s="23" t="s">
        <v>174</v>
      </c>
      <c r="H146" s="23" t="s">
        <v>174</v>
      </c>
      <c r="I146" s="23" t="s">
        <v>174</v>
      </c>
      <c r="J146" s="22">
        <v>0</v>
      </c>
      <c r="K146" s="23" t="s">
        <v>174</v>
      </c>
      <c r="L146" s="23">
        <v>0</v>
      </c>
      <c r="M146" s="23"/>
      <c r="N146" s="23" t="s">
        <v>175</v>
      </c>
      <c r="O146" s="23" t="s">
        <v>7</v>
      </c>
      <c r="P146" s="23" t="s">
        <v>131</v>
      </c>
      <c r="Q146" s="23" t="s">
        <v>3</v>
      </c>
      <c r="R146" s="23">
        <f t="shared" si="20"/>
        <v>35000</v>
      </c>
      <c r="S146" s="22">
        <v>4000</v>
      </c>
      <c r="T146" s="23"/>
      <c r="U146" s="41">
        <f t="shared" si="21"/>
        <v>0.11428571428571428</v>
      </c>
      <c r="V146" s="23">
        <v>39000</v>
      </c>
      <c r="W146" s="30"/>
      <c r="X146" s="31" t="s">
        <v>175</v>
      </c>
      <c r="Y146" s="31" t="s">
        <v>201</v>
      </c>
      <c r="Z146" s="31" t="s">
        <v>131</v>
      </c>
      <c r="AA146" s="32" t="s">
        <v>21</v>
      </c>
      <c r="AB146" s="34">
        <f t="shared" si="22"/>
        <v>39000</v>
      </c>
      <c r="AC146" s="33">
        <v>10000</v>
      </c>
      <c r="AE146" s="40">
        <f t="shared" si="23"/>
        <v>0.25641025641025639</v>
      </c>
      <c r="AF146" s="31">
        <f t="shared" si="19"/>
        <v>49000</v>
      </c>
    </row>
    <row r="147" spans="1:32" x14ac:dyDescent="0.25">
      <c r="A147" s="21"/>
      <c r="B147" s="21">
        <v>21462019</v>
      </c>
      <c r="C147" s="21" t="s">
        <v>224</v>
      </c>
      <c r="D147" s="21"/>
      <c r="E147" s="22">
        <v>0</v>
      </c>
      <c r="F147" s="23" t="s">
        <v>174</v>
      </c>
      <c r="G147" s="23" t="s">
        <v>174</v>
      </c>
      <c r="H147" s="23" t="s">
        <v>174</v>
      </c>
      <c r="I147" s="23" t="s">
        <v>174</v>
      </c>
      <c r="J147" s="22">
        <v>0</v>
      </c>
      <c r="K147" s="23" t="s">
        <v>174</v>
      </c>
      <c r="L147" s="23">
        <v>0</v>
      </c>
      <c r="M147" s="23"/>
      <c r="N147" s="23" t="s">
        <v>175</v>
      </c>
      <c r="O147" s="23" t="s">
        <v>7</v>
      </c>
      <c r="P147" s="23" t="s">
        <v>138</v>
      </c>
      <c r="Q147" s="23" t="s">
        <v>4</v>
      </c>
      <c r="R147" s="23">
        <f t="shared" si="20"/>
        <v>40000</v>
      </c>
      <c r="S147" s="22">
        <v>2000</v>
      </c>
      <c r="T147" s="23"/>
      <c r="U147" s="41">
        <f t="shared" si="21"/>
        <v>0.05</v>
      </c>
      <c r="V147" s="23">
        <v>42000</v>
      </c>
      <c r="W147" s="30"/>
      <c r="X147" s="31" t="s">
        <v>174</v>
      </c>
      <c r="AB147" s="34">
        <f t="shared" si="22"/>
        <v>42000</v>
      </c>
      <c r="AF147" s="31">
        <f t="shared" si="19"/>
        <v>42000</v>
      </c>
    </row>
    <row r="148" spans="1:32" x14ac:dyDescent="0.25">
      <c r="A148" s="21"/>
      <c r="B148" s="21">
        <v>21442018</v>
      </c>
      <c r="C148" s="21" t="s">
        <v>225</v>
      </c>
      <c r="D148" s="21"/>
      <c r="E148" s="22">
        <v>0</v>
      </c>
      <c r="F148" s="23" t="s">
        <v>174</v>
      </c>
      <c r="G148" s="23" t="s">
        <v>174</v>
      </c>
      <c r="H148" s="23" t="s">
        <v>174</v>
      </c>
      <c r="I148" s="23" t="s">
        <v>174</v>
      </c>
      <c r="J148" s="22">
        <v>0</v>
      </c>
      <c r="K148" s="23" t="s">
        <v>174</v>
      </c>
      <c r="L148" s="23">
        <v>0</v>
      </c>
      <c r="M148" s="23"/>
      <c r="N148" s="23" t="s">
        <v>175</v>
      </c>
      <c r="O148" s="23" t="s">
        <v>7</v>
      </c>
      <c r="P148" s="23" t="s">
        <v>20</v>
      </c>
      <c r="Q148" s="23" t="s">
        <v>28</v>
      </c>
      <c r="R148" s="23">
        <f t="shared" si="20"/>
        <v>10000</v>
      </c>
      <c r="S148" s="22">
        <v>0</v>
      </c>
      <c r="T148" s="23"/>
      <c r="U148" s="41">
        <f t="shared" si="21"/>
        <v>0</v>
      </c>
      <c r="V148" s="23">
        <v>10000</v>
      </c>
      <c r="W148" s="30"/>
      <c r="X148" s="31" t="s">
        <v>175</v>
      </c>
      <c r="Y148" s="31" t="s">
        <v>7</v>
      </c>
      <c r="Z148" s="31" t="s">
        <v>20</v>
      </c>
      <c r="AA148" s="32" t="s">
        <v>28</v>
      </c>
      <c r="AB148" s="34">
        <f t="shared" si="22"/>
        <v>10000</v>
      </c>
      <c r="AC148" s="33">
        <v>2000</v>
      </c>
      <c r="AE148" s="40">
        <f t="shared" si="23"/>
        <v>0.2</v>
      </c>
      <c r="AF148" s="31">
        <f t="shared" si="19"/>
        <v>12000</v>
      </c>
    </row>
    <row r="149" spans="1:32" x14ac:dyDescent="0.25">
      <c r="A149" s="21"/>
      <c r="B149" s="21">
        <v>40512018</v>
      </c>
      <c r="C149" s="21" t="s">
        <v>226</v>
      </c>
      <c r="D149" s="21"/>
      <c r="E149" s="22">
        <v>0</v>
      </c>
      <c r="F149" s="23" t="s">
        <v>174</v>
      </c>
      <c r="G149" s="23" t="s">
        <v>174</v>
      </c>
      <c r="H149" s="23" t="s">
        <v>174</v>
      </c>
      <c r="I149" s="23" t="s">
        <v>174</v>
      </c>
      <c r="J149" s="22">
        <v>0</v>
      </c>
      <c r="K149" s="23" t="s">
        <v>174</v>
      </c>
      <c r="L149" s="23">
        <v>0</v>
      </c>
      <c r="M149" s="23"/>
      <c r="N149" s="23" t="s">
        <v>175</v>
      </c>
      <c r="O149" s="23" t="s">
        <v>201</v>
      </c>
      <c r="P149" s="23" t="s">
        <v>36</v>
      </c>
      <c r="Q149" s="23" t="s">
        <v>5</v>
      </c>
      <c r="R149" s="23">
        <f t="shared" si="20"/>
        <v>25000</v>
      </c>
      <c r="S149" s="22">
        <v>5000</v>
      </c>
      <c r="T149" s="23"/>
      <c r="U149" s="41">
        <f t="shared" si="21"/>
        <v>0.2</v>
      </c>
      <c r="V149" s="23">
        <v>30000</v>
      </c>
      <c r="W149" s="30"/>
      <c r="X149" s="31" t="s">
        <v>175</v>
      </c>
      <c r="Y149" s="31" t="s">
        <v>201</v>
      </c>
      <c r="Z149" s="31" t="s">
        <v>36</v>
      </c>
      <c r="AA149" s="32" t="s">
        <v>5</v>
      </c>
      <c r="AB149" s="34">
        <f t="shared" si="22"/>
        <v>30000</v>
      </c>
      <c r="AC149" s="33">
        <v>6000</v>
      </c>
      <c r="AE149" s="40">
        <f t="shared" si="23"/>
        <v>0.2</v>
      </c>
      <c r="AF149" s="31">
        <f t="shared" si="19"/>
        <v>36000</v>
      </c>
    </row>
    <row r="150" spans="1:32" x14ac:dyDescent="0.25">
      <c r="A150" s="21"/>
      <c r="B150" s="21">
        <v>40452018</v>
      </c>
      <c r="C150" s="21" t="s">
        <v>227</v>
      </c>
      <c r="D150" s="21"/>
      <c r="E150" s="22">
        <v>0</v>
      </c>
      <c r="F150" s="23" t="s">
        <v>174</v>
      </c>
      <c r="G150" s="23" t="s">
        <v>174</v>
      </c>
      <c r="H150" s="23" t="s">
        <v>174</v>
      </c>
      <c r="I150" s="23" t="s">
        <v>174</v>
      </c>
      <c r="J150" s="22">
        <v>0</v>
      </c>
      <c r="K150" s="23" t="s">
        <v>174</v>
      </c>
      <c r="L150" s="23">
        <v>0</v>
      </c>
      <c r="M150" s="23"/>
      <c r="N150" s="23" t="s">
        <v>175</v>
      </c>
      <c r="O150" s="23" t="s">
        <v>201</v>
      </c>
      <c r="P150" s="23" t="s">
        <v>36</v>
      </c>
      <c r="Q150" s="23" t="s">
        <v>8</v>
      </c>
      <c r="R150" s="23">
        <f t="shared" si="20"/>
        <v>16000</v>
      </c>
      <c r="S150" s="22">
        <v>6000</v>
      </c>
      <c r="T150" s="23"/>
      <c r="U150" s="41">
        <f t="shared" si="21"/>
        <v>0.375</v>
      </c>
      <c r="V150" s="23">
        <v>22000</v>
      </c>
      <c r="W150" s="30"/>
      <c r="X150" s="31" t="s">
        <v>175</v>
      </c>
      <c r="Y150" s="31" t="s">
        <v>201</v>
      </c>
      <c r="Z150" s="31" t="s">
        <v>36</v>
      </c>
      <c r="AA150" s="32" t="s">
        <v>8</v>
      </c>
      <c r="AB150" s="34">
        <f t="shared" si="22"/>
        <v>22000</v>
      </c>
      <c r="AC150" s="33">
        <v>5000</v>
      </c>
      <c r="AE150" s="40">
        <f t="shared" si="23"/>
        <v>0.22727272727272727</v>
      </c>
      <c r="AF150" s="31">
        <f t="shared" si="19"/>
        <v>27000</v>
      </c>
    </row>
    <row r="151" spans="1:32" x14ac:dyDescent="0.25">
      <c r="A151" s="21"/>
      <c r="B151" s="21">
        <v>40462018</v>
      </c>
      <c r="C151" s="21" t="s">
        <v>228</v>
      </c>
      <c r="D151" s="21"/>
      <c r="E151" s="22">
        <v>0</v>
      </c>
      <c r="F151" s="23" t="s">
        <v>174</v>
      </c>
      <c r="G151" s="23" t="s">
        <v>174</v>
      </c>
      <c r="H151" s="23" t="s">
        <v>174</v>
      </c>
      <c r="I151" s="23" t="s">
        <v>174</v>
      </c>
      <c r="J151" s="22">
        <v>0</v>
      </c>
      <c r="K151" s="23" t="s">
        <v>174</v>
      </c>
      <c r="L151" s="23">
        <v>0</v>
      </c>
      <c r="M151" s="23"/>
      <c r="N151" s="23" t="s">
        <v>175</v>
      </c>
      <c r="O151" s="23" t="s">
        <v>201</v>
      </c>
      <c r="P151" s="23" t="s">
        <v>36</v>
      </c>
      <c r="Q151" s="23" t="s">
        <v>8</v>
      </c>
      <c r="R151" s="23">
        <f t="shared" si="20"/>
        <v>10000</v>
      </c>
      <c r="S151" s="22">
        <v>5000</v>
      </c>
      <c r="T151" s="23"/>
      <c r="U151" s="41">
        <f t="shared" si="21"/>
        <v>0.5</v>
      </c>
      <c r="V151" s="23">
        <v>15000</v>
      </c>
      <c r="W151" s="30"/>
      <c r="X151" s="31" t="s">
        <v>175</v>
      </c>
      <c r="Y151" s="31" t="s">
        <v>201</v>
      </c>
      <c r="Z151" s="31" t="s">
        <v>36</v>
      </c>
      <c r="AA151" s="32" t="s">
        <v>8</v>
      </c>
      <c r="AB151" s="34">
        <f t="shared" si="22"/>
        <v>15000</v>
      </c>
      <c r="AC151" s="33">
        <v>7000</v>
      </c>
      <c r="AE151" s="40">
        <f t="shared" si="23"/>
        <v>0.46666666666666667</v>
      </c>
      <c r="AF151" s="31">
        <f t="shared" si="19"/>
        <v>22000</v>
      </c>
    </row>
    <row r="152" spans="1:32" x14ac:dyDescent="0.25">
      <c r="A152" s="21"/>
      <c r="B152" s="21">
        <v>40712019</v>
      </c>
      <c r="C152" s="21" t="s">
        <v>229</v>
      </c>
      <c r="D152" s="21"/>
      <c r="E152" s="22">
        <v>0</v>
      </c>
      <c r="F152" s="23" t="s">
        <v>174</v>
      </c>
      <c r="G152" s="23" t="s">
        <v>174</v>
      </c>
      <c r="H152" s="23" t="s">
        <v>174</v>
      </c>
      <c r="I152" s="23" t="s">
        <v>174</v>
      </c>
      <c r="J152" s="22">
        <v>0</v>
      </c>
      <c r="K152" s="23" t="s">
        <v>174</v>
      </c>
      <c r="L152" s="23">
        <v>0</v>
      </c>
      <c r="M152" s="23"/>
      <c r="N152" s="23" t="s">
        <v>175</v>
      </c>
      <c r="O152" s="23" t="s">
        <v>201</v>
      </c>
      <c r="P152" s="23" t="s">
        <v>36</v>
      </c>
      <c r="Q152" s="23" t="s">
        <v>130</v>
      </c>
      <c r="R152" s="23">
        <f t="shared" si="20"/>
        <v>65000</v>
      </c>
      <c r="S152" s="22">
        <v>15000</v>
      </c>
      <c r="T152" s="23"/>
      <c r="U152" s="41">
        <f t="shared" si="21"/>
        <v>0.23076923076923078</v>
      </c>
      <c r="V152" s="23">
        <v>80000</v>
      </c>
      <c r="W152" s="30"/>
      <c r="X152" s="31" t="s">
        <v>175</v>
      </c>
      <c r="Y152" s="31" t="s">
        <v>201</v>
      </c>
      <c r="Z152" s="31" t="s">
        <v>36</v>
      </c>
      <c r="AA152" s="32" t="s">
        <v>130</v>
      </c>
      <c r="AB152" s="34">
        <f t="shared" si="22"/>
        <v>80000</v>
      </c>
      <c r="AC152" s="33">
        <v>8000</v>
      </c>
      <c r="AE152" s="40">
        <f t="shared" si="23"/>
        <v>0.1</v>
      </c>
      <c r="AF152" s="31">
        <f t="shared" si="19"/>
        <v>88000</v>
      </c>
    </row>
    <row r="153" spans="1:32" x14ac:dyDescent="0.25">
      <c r="A153" s="21"/>
      <c r="B153" s="21">
        <v>40352018</v>
      </c>
      <c r="C153" s="21" t="s">
        <v>230</v>
      </c>
      <c r="D153" s="21"/>
      <c r="E153" s="22">
        <v>0</v>
      </c>
      <c r="F153" s="23" t="s">
        <v>174</v>
      </c>
      <c r="G153" s="23" t="s">
        <v>174</v>
      </c>
      <c r="H153" s="23" t="s">
        <v>174</v>
      </c>
      <c r="I153" s="23" t="s">
        <v>174</v>
      </c>
      <c r="J153" s="22">
        <v>0</v>
      </c>
      <c r="K153" s="23" t="s">
        <v>174</v>
      </c>
      <c r="L153" s="23">
        <v>0</v>
      </c>
      <c r="M153" s="23"/>
      <c r="N153" s="23" t="s">
        <v>175</v>
      </c>
      <c r="O153" s="23" t="s">
        <v>201</v>
      </c>
      <c r="P153" s="23" t="s">
        <v>37</v>
      </c>
      <c r="Q153" s="23" t="s">
        <v>5</v>
      </c>
      <c r="R153" s="23">
        <f t="shared" si="20"/>
        <v>35000</v>
      </c>
      <c r="S153" s="22">
        <v>3000</v>
      </c>
      <c r="T153" s="23"/>
      <c r="U153" s="41">
        <f t="shared" si="21"/>
        <v>8.5714285714285715E-2</v>
      </c>
      <c r="V153" s="23">
        <v>38000</v>
      </c>
      <c r="W153" s="30"/>
      <c r="X153" s="31" t="s">
        <v>174</v>
      </c>
      <c r="AB153" s="34">
        <f t="shared" si="22"/>
        <v>38000</v>
      </c>
      <c r="AF153" s="31">
        <f t="shared" si="19"/>
        <v>38000</v>
      </c>
    </row>
    <row r="154" spans="1:32" x14ac:dyDescent="0.25">
      <c r="A154" s="21"/>
      <c r="B154" s="21">
        <v>40422018</v>
      </c>
      <c r="C154" s="21" t="s">
        <v>231</v>
      </c>
      <c r="D154" s="21"/>
      <c r="E154" s="22">
        <v>0</v>
      </c>
      <c r="F154" s="23" t="s">
        <v>174</v>
      </c>
      <c r="G154" s="23" t="s">
        <v>174</v>
      </c>
      <c r="H154" s="23" t="s">
        <v>174</v>
      </c>
      <c r="I154" s="23" t="s">
        <v>174</v>
      </c>
      <c r="J154" s="22">
        <v>0</v>
      </c>
      <c r="K154" s="23" t="s">
        <v>174</v>
      </c>
      <c r="L154" s="23">
        <v>0</v>
      </c>
      <c r="M154" s="23"/>
      <c r="N154" s="23" t="s">
        <v>175</v>
      </c>
      <c r="O154" s="23" t="s">
        <v>201</v>
      </c>
      <c r="P154" s="23" t="s">
        <v>32</v>
      </c>
      <c r="Q154" s="23" t="s">
        <v>8</v>
      </c>
      <c r="R154" s="23">
        <f t="shared" si="20"/>
        <v>18000</v>
      </c>
      <c r="S154" s="22">
        <v>5000</v>
      </c>
      <c r="T154" s="23"/>
      <c r="U154" s="41">
        <f t="shared" si="21"/>
        <v>0.27777777777777779</v>
      </c>
      <c r="V154" s="23">
        <v>23000</v>
      </c>
      <c r="W154" s="30"/>
      <c r="X154" s="31" t="s">
        <v>175</v>
      </c>
      <c r="Y154" s="31" t="s">
        <v>201</v>
      </c>
      <c r="Z154" s="31" t="s">
        <v>32</v>
      </c>
      <c r="AA154" s="32" t="s">
        <v>3</v>
      </c>
      <c r="AB154" s="34">
        <f t="shared" si="22"/>
        <v>23000</v>
      </c>
      <c r="AC154" s="33">
        <v>5000</v>
      </c>
      <c r="AE154" s="40">
        <f t="shared" si="23"/>
        <v>0.21739130434782608</v>
      </c>
      <c r="AF154" s="31">
        <f t="shared" si="19"/>
        <v>28000</v>
      </c>
    </row>
    <row r="155" spans="1:32" x14ac:dyDescent="0.25">
      <c r="A155" s="21"/>
      <c r="B155" s="21">
        <v>40522018</v>
      </c>
      <c r="C155" s="21" t="s">
        <v>232</v>
      </c>
      <c r="D155" s="21"/>
      <c r="E155" s="22">
        <v>0</v>
      </c>
      <c r="F155" s="23" t="s">
        <v>174</v>
      </c>
      <c r="G155" s="23" t="s">
        <v>174</v>
      </c>
      <c r="H155" s="23" t="s">
        <v>174</v>
      </c>
      <c r="I155" s="23" t="s">
        <v>174</v>
      </c>
      <c r="J155" s="22">
        <v>0</v>
      </c>
      <c r="K155" s="23" t="s">
        <v>174</v>
      </c>
      <c r="L155" s="23">
        <v>0</v>
      </c>
      <c r="M155" s="23"/>
      <c r="N155" s="23" t="s">
        <v>175</v>
      </c>
      <c r="O155" s="23" t="s">
        <v>201</v>
      </c>
      <c r="P155" s="23" t="s">
        <v>32</v>
      </c>
      <c r="Q155" s="23" t="s">
        <v>21</v>
      </c>
      <c r="R155" s="23">
        <f t="shared" si="20"/>
        <v>37000</v>
      </c>
      <c r="S155" s="22">
        <v>3000</v>
      </c>
      <c r="T155" s="23"/>
      <c r="U155" s="41">
        <f t="shared" si="21"/>
        <v>8.1081081081081086E-2</v>
      </c>
      <c r="V155" s="23">
        <v>40000</v>
      </c>
      <c r="W155" s="30"/>
      <c r="X155" s="31" t="s">
        <v>175</v>
      </c>
      <c r="Y155" s="31" t="s">
        <v>201</v>
      </c>
      <c r="Z155" s="31" t="s">
        <v>32</v>
      </c>
      <c r="AA155" s="32" t="s">
        <v>21</v>
      </c>
      <c r="AB155" s="34">
        <f t="shared" si="22"/>
        <v>40000</v>
      </c>
      <c r="AC155" s="33">
        <v>4000</v>
      </c>
      <c r="AE155" s="40">
        <f t="shared" si="23"/>
        <v>0.1</v>
      </c>
      <c r="AF155" s="31">
        <f t="shared" si="19"/>
        <v>44000</v>
      </c>
    </row>
    <row r="156" spans="1:32" x14ac:dyDescent="0.25">
      <c r="A156" s="21"/>
      <c r="B156" s="21">
        <v>40502018</v>
      </c>
      <c r="C156" s="21" t="s">
        <v>233</v>
      </c>
      <c r="D156" s="21"/>
      <c r="E156" s="22">
        <v>0</v>
      </c>
      <c r="F156" s="23" t="s">
        <v>174</v>
      </c>
      <c r="G156" s="23" t="s">
        <v>174</v>
      </c>
      <c r="H156" s="23" t="s">
        <v>174</v>
      </c>
      <c r="I156" s="23" t="s">
        <v>174</v>
      </c>
      <c r="J156" s="22">
        <v>0</v>
      </c>
      <c r="K156" s="23" t="s">
        <v>174</v>
      </c>
      <c r="L156" s="23">
        <v>0</v>
      </c>
      <c r="M156" s="23"/>
      <c r="N156" s="23" t="s">
        <v>175</v>
      </c>
      <c r="O156" s="23" t="s">
        <v>201</v>
      </c>
      <c r="P156" s="23" t="s">
        <v>32</v>
      </c>
      <c r="Q156" s="23" t="s">
        <v>3</v>
      </c>
      <c r="R156" s="23">
        <f t="shared" si="20"/>
        <v>30000</v>
      </c>
      <c r="S156" s="22">
        <v>3000</v>
      </c>
      <c r="T156" s="23"/>
      <c r="U156" s="41">
        <f t="shared" si="21"/>
        <v>0.1</v>
      </c>
      <c r="V156" s="23">
        <v>33000</v>
      </c>
      <c r="W156" s="30"/>
      <c r="X156" s="31" t="s">
        <v>175</v>
      </c>
      <c r="Y156" s="31" t="s">
        <v>201</v>
      </c>
      <c r="Z156" s="31" t="s">
        <v>32</v>
      </c>
      <c r="AA156" s="32" t="s">
        <v>3</v>
      </c>
      <c r="AB156" s="34">
        <f t="shared" si="22"/>
        <v>33000</v>
      </c>
      <c r="AC156" s="33">
        <v>5000</v>
      </c>
      <c r="AE156" s="40">
        <f t="shared" si="23"/>
        <v>0.15151515151515152</v>
      </c>
      <c r="AF156" s="31">
        <f t="shared" si="19"/>
        <v>38000</v>
      </c>
    </row>
    <row r="157" spans="1:32" x14ac:dyDescent="0.25">
      <c r="A157" s="21"/>
      <c r="B157" s="21">
        <v>40322018</v>
      </c>
      <c r="C157" s="21" t="s">
        <v>234</v>
      </c>
      <c r="D157" s="21"/>
      <c r="E157" s="22">
        <v>0</v>
      </c>
      <c r="F157" s="23" t="s">
        <v>174</v>
      </c>
      <c r="G157" s="23" t="s">
        <v>174</v>
      </c>
      <c r="H157" s="23" t="s">
        <v>174</v>
      </c>
      <c r="I157" s="23" t="s">
        <v>174</v>
      </c>
      <c r="J157" s="22">
        <v>0</v>
      </c>
      <c r="K157" s="23" t="s">
        <v>174</v>
      </c>
      <c r="L157" s="23">
        <v>0</v>
      </c>
      <c r="M157" s="23"/>
      <c r="N157" s="23" t="s">
        <v>175</v>
      </c>
      <c r="O157" s="23" t="s">
        <v>201</v>
      </c>
      <c r="P157" s="23" t="s">
        <v>19</v>
      </c>
      <c r="Q157" s="23" t="s">
        <v>27</v>
      </c>
      <c r="R157" s="23">
        <f t="shared" si="20"/>
        <v>11000</v>
      </c>
      <c r="S157" s="22">
        <v>4000</v>
      </c>
      <c r="T157" s="23"/>
      <c r="U157" s="41">
        <f t="shared" si="21"/>
        <v>0.36363636363636365</v>
      </c>
      <c r="V157" s="23">
        <v>15000</v>
      </c>
      <c r="W157" s="30"/>
      <c r="X157" s="31" t="s">
        <v>175</v>
      </c>
      <c r="Y157" s="31" t="s">
        <v>201</v>
      </c>
      <c r="Z157" s="31" t="s">
        <v>19</v>
      </c>
      <c r="AA157" s="32" t="s">
        <v>27</v>
      </c>
      <c r="AB157" s="34">
        <f t="shared" si="22"/>
        <v>15000</v>
      </c>
      <c r="AC157" s="33">
        <v>5000</v>
      </c>
      <c r="AE157" s="40">
        <f t="shared" si="23"/>
        <v>0.33333333333333331</v>
      </c>
      <c r="AF157" s="31">
        <f t="shared" si="19"/>
        <v>20000</v>
      </c>
    </row>
    <row r="158" spans="1:32" x14ac:dyDescent="0.25">
      <c r="A158" s="21"/>
      <c r="B158" s="21">
        <v>21402018</v>
      </c>
      <c r="C158" s="21" t="s">
        <v>235</v>
      </c>
      <c r="D158" s="21"/>
      <c r="E158" s="22">
        <v>0</v>
      </c>
      <c r="F158" s="23" t="s">
        <v>174</v>
      </c>
      <c r="G158" s="23" t="s">
        <v>174</v>
      </c>
      <c r="H158" s="23" t="s">
        <v>174</v>
      </c>
      <c r="I158" s="23" t="s">
        <v>174</v>
      </c>
      <c r="J158" s="22">
        <v>0</v>
      </c>
      <c r="K158" s="23" t="s">
        <v>174</v>
      </c>
      <c r="L158" s="23">
        <v>0</v>
      </c>
      <c r="M158" s="23"/>
      <c r="N158" s="23" t="s">
        <v>175</v>
      </c>
      <c r="O158" s="23" t="s">
        <v>201</v>
      </c>
      <c r="P158" s="23" t="s">
        <v>19</v>
      </c>
      <c r="Q158" s="23" t="s">
        <v>8</v>
      </c>
      <c r="R158" s="23">
        <f t="shared" si="20"/>
        <v>15000</v>
      </c>
      <c r="S158" s="22">
        <v>5000</v>
      </c>
      <c r="T158" s="23"/>
      <c r="U158" s="41">
        <f t="shared" si="21"/>
        <v>0.33333333333333331</v>
      </c>
      <c r="V158" s="23">
        <v>20000</v>
      </c>
      <c r="W158" s="30"/>
      <c r="X158" s="31" t="s">
        <v>175</v>
      </c>
      <c r="Y158" s="31" t="s">
        <v>201</v>
      </c>
      <c r="Z158" s="31" t="s">
        <v>19</v>
      </c>
      <c r="AA158" s="32" t="s">
        <v>8</v>
      </c>
      <c r="AB158" s="34">
        <f t="shared" si="22"/>
        <v>20000</v>
      </c>
      <c r="AC158" s="33">
        <v>5000</v>
      </c>
      <c r="AE158" s="40">
        <f t="shared" si="23"/>
        <v>0.25</v>
      </c>
      <c r="AF158" s="31">
        <f t="shared" si="19"/>
        <v>25000</v>
      </c>
    </row>
    <row r="159" spans="1:32" x14ac:dyDescent="0.25">
      <c r="A159" s="21"/>
      <c r="B159" s="21">
        <v>40442018</v>
      </c>
      <c r="C159" s="21" t="s">
        <v>236</v>
      </c>
      <c r="D159" s="21"/>
      <c r="E159" s="22">
        <v>0</v>
      </c>
      <c r="F159" s="23" t="s">
        <v>174</v>
      </c>
      <c r="G159" s="23" t="s">
        <v>174</v>
      </c>
      <c r="H159" s="23" t="s">
        <v>174</v>
      </c>
      <c r="I159" s="23" t="s">
        <v>174</v>
      </c>
      <c r="J159" s="22">
        <v>0</v>
      </c>
      <c r="K159" s="23" t="s">
        <v>174</v>
      </c>
      <c r="L159" s="23">
        <v>0</v>
      </c>
      <c r="M159" s="23"/>
      <c r="N159" s="23" t="s">
        <v>175</v>
      </c>
      <c r="O159" s="23" t="s">
        <v>201</v>
      </c>
      <c r="P159" s="23" t="s">
        <v>19</v>
      </c>
      <c r="Q159" s="23" t="s">
        <v>8</v>
      </c>
      <c r="R159" s="23">
        <f t="shared" si="20"/>
        <v>15000</v>
      </c>
      <c r="S159" s="22">
        <v>5000</v>
      </c>
      <c r="T159" s="23"/>
      <c r="U159" s="41">
        <f t="shared" si="21"/>
        <v>0.33333333333333331</v>
      </c>
      <c r="V159" s="23">
        <v>20000</v>
      </c>
      <c r="W159" s="30"/>
      <c r="X159" s="31" t="s">
        <v>175</v>
      </c>
      <c r="Y159" s="31" t="s">
        <v>201</v>
      </c>
      <c r="Z159" s="31" t="s">
        <v>19</v>
      </c>
      <c r="AA159" s="32" t="s">
        <v>8</v>
      </c>
      <c r="AB159" s="34">
        <f t="shared" si="22"/>
        <v>20000</v>
      </c>
      <c r="AC159" s="33">
        <v>5000</v>
      </c>
      <c r="AE159" s="40">
        <f t="shared" si="23"/>
        <v>0.25</v>
      </c>
      <c r="AF159" s="31">
        <f t="shared" si="19"/>
        <v>25000</v>
      </c>
    </row>
    <row r="160" spans="1:32" x14ac:dyDescent="0.25">
      <c r="A160" s="21"/>
      <c r="B160" s="21">
        <v>40392018</v>
      </c>
      <c r="C160" s="21" t="s">
        <v>237</v>
      </c>
      <c r="D160" s="21"/>
      <c r="E160" s="22">
        <v>0</v>
      </c>
      <c r="F160" s="23" t="s">
        <v>174</v>
      </c>
      <c r="G160" s="23" t="s">
        <v>174</v>
      </c>
      <c r="H160" s="23" t="s">
        <v>174</v>
      </c>
      <c r="I160" s="23" t="s">
        <v>174</v>
      </c>
      <c r="J160" s="22">
        <v>0</v>
      </c>
      <c r="K160" s="23" t="s">
        <v>174</v>
      </c>
      <c r="L160" s="23">
        <v>0</v>
      </c>
      <c r="M160" s="23"/>
      <c r="N160" s="23" t="s">
        <v>175</v>
      </c>
      <c r="O160" s="23" t="s">
        <v>201</v>
      </c>
      <c r="P160" s="23" t="s">
        <v>138</v>
      </c>
      <c r="Q160" s="23" t="s">
        <v>3</v>
      </c>
      <c r="R160" s="23">
        <f t="shared" si="20"/>
        <v>20000</v>
      </c>
      <c r="S160" s="22">
        <v>4000</v>
      </c>
      <c r="T160" s="23"/>
      <c r="U160" s="41">
        <f t="shared" si="21"/>
        <v>0.2</v>
      </c>
      <c r="V160" s="23">
        <v>24000</v>
      </c>
      <c r="W160" s="30"/>
      <c r="X160" s="31" t="s">
        <v>174</v>
      </c>
      <c r="AB160" s="34">
        <f t="shared" si="22"/>
        <v>24000</v>
      </c>
      <c r="AF160" s="31">
        <f t="shared" si="19"/>
        <v>24000</v>
      </c>
    </row>
    <row r="161" spans="1:33" x14ac:dyDescent="0.25">
      <c r="A161" s="21"/>
      <c r="B161" s="21">
        <v>40362018</v>
      </c>
      <c r="C161" s="21" t="str">
        <f>VLOOKUP(B161,[1]PDL!$C:$K,8,FALSE)</f>
        <v>Md. Hasibul Huda</v>
      </c>
      <c r="D161" s="21"/>
      <c r="E161" s="22">
        <v>0</v>
      </c>
      <c r="F161" s="23">
        <v>0</v>
      </c>
      <c r="G161" s="23">
        <v>0</v>
      </c>
      <c r="H161" s="23">
        <v>0</v>
      </c>
      <c r="I161" s="23">
        <v>0</v>
      </c>
      <c r="J161" s="22">
        <v>0</v>
      </c>
      <c r="K161" s="23">
        <v>0</v>
      </c>
      <c r="L161" s="23">
        <v>0</v>
      </c>
      <c r="M161" s="23"/>
      <c r="N161" s="23" t="s">
        <v>175</v>
      </c>
      <c r="O161" s="23" t="s">
        <v>201</v>
      </c>
      <c r="P161" s="23" t="s">
        <v>238</v>
      </c>
      <c r="Q161" s="23" t="s">
        <v>17</v>
      </c>
      <c r="R161" s="23">
        <f t="shared" si="20"/>
        <v>350000</v>
      </c>
      <c r="S161" s="22">
        <v>0</v>
      </c>
      <c r="T161" s="23"/>
      <c r="U161" s="41">
        <f t="shared" si="21"/>
        <v>0</v>
      </c>
      <c r="V161" s="23">
        <v>350000</v>
      </c>
      <c r="W161" s="30"/>
      <c r="X161" s="31" t="s">
        <v>175</v>
      </c>
      <c r="Y161" s="31" t="s">
        <v>201</v>
      </c>
      <c r="Z161" s="31" t="s">
        <v>238</v>
      </c>
      <c r="AA161" s="32" t="s">
        <v>17</v>
      </c>
      <c r="AB161" s="34">
        <f t="shared" si="22"/>
        <v>350000</v>
      </c>
      <c r="AC161" s="33">
        <v>10000</v>
      </c>
      <c r="AE161" s="40">
        <f t="shared" si="23"/>
        <v>2.8571428571428571E-2</v>
      </c>
      <c r="AF161" s="31">
        <f t="shared" si="19"/>
        <v>360000</v>
      </c>
    </row>
    <row r="162" spans="1:33" x14ac:dyDescent="0.25">
      <c r="A162" s="21"/>
      <c r="B162" s="21">
        <v>40052018</v>
      </c>
      <c r="C162" s="21" t="str">
        <f>VLOOKUP(B162,[1]PDL!$C:$K,8,FALSE)</f>
        <v>Atekur Rahman Nayim</v>
      </c>
      <c r="D162" s="21"/>
      <c r="E162" s="22">
        <v>0</v>
      </c>
      <c r="F162" s="23">
        <v>0</v>
      </c>
      <c r="G162" s="23">
        <v>0</v>
      </c>
      <c r="H162" s="23">
        <v>0</v>
      </c>
      <c r="I162" s="23">
        <v>0</v>
      </c>
      <c r="J162" s="22">
        <v>0</v>
      </c>
      <c r="K162" s="23">
        <v>0</v>
      </c>
      <c r="L162" s="23">
        <v>0</v>
      </c>
      <c r="M162" s="23"/>
      <c r="N162" s="23" t="s">
        <v>175</v>
      </c>
      <c r="O162" s="23" t="s">
        <v>201</v>
      </c>
      <c r="P162" s="23" t="s">
        <v>238</v>
      </c>
      <c r="Q162" s="23" t="s">
        <v>239</v>
      </c>
      <c r="R162" s="23">
        <f t="shared" si="20"/>
        <v>55000</v>
      </c>
      <c r="S162" s="22">
        <v>13000</v>
      </c>
      <c r="T162" s="23"/>
      <c r="U162" s="41">
        <f t="shared" si="21"/>
        <v>0.23636363636363636</v>
      </c>
      <c r="V162" s="23">
        <v>68000</v>
      </c>
      <c r="W162" s="30" t="s">
        <v>377</v>
      </c>
      <c r="X162" s="31" t="s">
        <v>175</v>
      </c>
      <c r="Y162" s="31" t="s">
        <v>201</v>
      </c>
      <c r="Z162" s="31" t="s">
        <v>238</v>
      </c>
      <c r="AA162" s="32" t="s">
        <v>264</v>
      </c>
      <c r="AB162" s="34">
        <f t="shared" si="22"/>
        <v>100000</v>
      </c>
      <c r="AC162" s="33">
        <v>0</v>
      </c>
      <c r="AF162" s="31">
        <v>100000</v>
      </c>
      <c r="AG162" s="32" t="s">
        <v>265</v>
      </c>
    </row>
    <row r="163" spans="1:33" x14ac:dyDescent="0.25">
      <c r="A163" s="21"/>
      <c r="B163" s="21">
        <v>40372018</v>
      </c>
      <c r="C163" s="21" t="str">
        <f>VLOOKUP(B163,[1]PDL!$C:$K,8,FALSE)</f>
        <v>Gazi Fayshal Ahmed</v>
      </c>
      <c r="D163" s="21"/>
      <c r="E163" s="22">
        <v>0</v>
      </c>
      <c r="F163" s="23">
        <v>0</v>
      </c>
      <c r="G163" s="23">
        <v>0</v>
      </c>
      <c r="H163" s="23">
        <v>0</v>
      </c>
      <c r="I163" s="23">
        <v>0</v>
      </c>
      <c r="J163" s="22">
        <v>0</v>
      </c>
      <c r="K163" s="23">
        <v>0</v>
      </c>
      <c r="L163" s="23">
        <v>0</v>
      </c>
      <c r="M163" s="23"/>
      <c r="N163" s="23" t="s">
        <v>175</v>
      </c>
      <c r="O163" s="23" t="s">
        <v>201</v>
      </c>
      <c r="P163" s="23" t="s">
        <v>238</v>
      </c>
      <c r="Q163" s="23" t="s">
        <v>240</v>
      </c>
      <c r="R163" s="23">
        <f t="shared" si="20"/>
        <v>25000</v>
      </c>
      <c r="S163" s="22">
        <v>5000</v>
      </c>
      <c r="T163" s="23"/>
      <c r="U163" s="41">
        <f t="shared" si="21"/>
        <v>0.2</v>
      </c>
      <c r="V163" s="23">
        <v>30000</v>
      </c>
      <c r="W163" s="30"/>
      <c r="X163" s="31" t="s">
        <v>175</v>
      </c>
      <c r="Y163" s="31" t="s">
        <v>201</v>
      </c>
      <c r="Z163" s="31" t="s">
        <v>238</v>
      </c>
      <c r="AA163" s="32" t="s">
        <v>240</v>
      </c>
      <c r="AB163" s="34">
        <f t="shared" si="22"/>
        <v>30000</v>
      </c>
      <c r="AC163" s="33">
        <v>5000</v>
      </c>
      <c r="AE163" s="40">
        <f t="shared" si="23"/>
        <v>0.16666666666666666</v>
      </c>
      <c r="AF163" s="31">
        <f t="shared" si="19"/>
        <v>35000</v>
      </c>
    </row>
    <row r="164" spans="1:33" x14ac:dyDescent="0.25">
      <c r="A164" s="21"/>
      <c r="B164" s="21">
        <v>40432018</v>
      </c>
      <c r="C164" s="21" t="str">
        <f>VLOOKUP(B164,[1]PDL!$C:$K,8,FALSE)</f>
        <v>Md. Zahidur Rahman</v>
      </c>
      <c r="D164" s="21"/>
      <c r="E164" s="22">
        <v>0</v>
      </c>
      <c r="F164" s="23">
        <v>0</v>
      </c>
      <c r="G164" s="23">
        <v>0</v>
      </c>
      <c r="H164" s="23">
        <v>0</v>
      </c>
      <c r="I164" s="23">
        <v>0</v>
      </c>
      <c r="J164" s="22">
        <v>0</v>
      </c>
      <c r="K164" s="23">
        <v>0</v>
      </c>
      <c r="L164" s="23"/>
      <c r="M164" s="23"/>
      <c r="N164" s="23" t="s">
        <v>175</v>
      </c>
      <c r="O164" s="23" t="s">
        <v>201</v>
      </c>
      <c r="P164" s="23" t="s">
        <v>238</v>
      </c>
      <c r="Q164" s="23" t="s">
        <v>239</v>
      </c>
      <c r="R164" s="23">
        <f t="shared" si="20"/>
        <v>40000</v>
      </c>
      <c r="S164" s="22">
        <v>10000</v>
      </c>
      <c r="T164" s="23"/>
      <c r="U164" s="41">
        <f t="shared" si="21"/>
        <v>0.25</v>
      </c>
      <c r="V164" s="23">
        <v>50000</v>
      </c>
      <c r="W164" s="30" t="s">
        <v>378</v>
      </c>
      <c r="X164" s="31" t="s">
        <v>175</v>
      </c>
      <c r="Y164" s="31" t="s">
        <v>201</v>
      </c>
      <c r="Z164" s="31" t="s">
        <v>238</v>
      </c>
      <c r="AA164" s="32" t="s">
        <v>239</v>
      </c>
      <c r="AB164" s="34">
        <f t="shared" si="22"/>
        <v>50000</v>
      </c>
      <c r="AC164" s="33">
        <v>13000</v>
      </c>
      <c r="AE164" s="40">
        <f t="shared" si="23"/>
        <v>0.26</v>
      </c>
      <c r="AF164" s="31">
        <f t="shared" si="19"/>
        <v>63000</v>
      </c>
    </row>
    <row r="165" spans="1:33" x14ac:dyDescent="0.25">
      <c r="A165" s="21"/>
      <c r="B165" s="21">
        <v>40472018</v>
      </c>
      <c r="C165" s="21" t="s">
        <v>242</v>
      </c>
      <c r="D165" s="21"/>
      <c r="E165" s="22">
        <v>0</v>
      </c>
      <c r="F165" s="23">
        <v>0</v>
      </c>
      <c r="G165" s="23">
        <v>0</v>
      </c>
      <c r="H165" s="23">
        <v>0</v>
      </c>
      <c r="I165" s="23">
        <v>0</v>
      </c>
      <c r="J165" s="22">
        <v>0</v>
      </c>
      <c r="K165" s="23">
        <v>0</v>
      </c>
      <c r="L165" s="23">
        <v>0</v>
      </c>
      <c r="M165" s="23"/>
      <c r="N165" s="23" t="s">
        <v>175</v>
      </c>
      <c r="O165" s="23" t="s">
        <v>201</v>
      </c>
      <c r="P165" s="23" t="s">
        <v>20</v>
      </c>
      <c r="Q165" s="23" t="s">
        <v>27</v>
      </c>
      <c r="R165" s="23">
        <f t="shared" si="20"/>
        <v>11000</v>
      </c>
      <c r="S165" s="22">
        <v>3000</v>
      </c>
      <c r="T165" s="23"/>
      <c r="U165" s="41">
        <f t="shared" si="21"/>
        <v>0.27272727272727271</v>
      </c>
      <c r="V165" s="23">
        <v>14000</v>
      </c>
      <c r="W165" s="30"/>
      <c r="X165" s="31" t="s">
        <v>174</v>
      </c>
      <c r="AB165" s="34">
        <f t="shared" si="22"/>
        <v>14000</v>
      </c>
      <c r="AF165" s="31">
        <f t="shared" si="19"/>
        <v>14000</v>
      </c>
    </row>
    <row r="166" spans="1:33" x14ac:dyDescent="0.25">
      <c r="A166" s="21"/>
      <c r="B166" s="21">
        <v>40332018</v>
      </c>
      <c r="C166" s="21" t="str">
        <f>VLOOKUP(B166,[1]PDL!$C:$K,8,FALSE)</f>
        <v>Jalal Gazi</v>
      </c>
      <c r="D166" s="21"/>
      <c r="E166" s="22">
        <v>0</v>
      </c>
      <c r="F166" s="23">
        <v>0</v>
      </c>
      <c r="G166" s="23">
        <v>0</v>
      </c>
      <c r="H166" s="23">
        <v>0</v>
      </c>
      <c r="I166" s="23">
        <v>0</v>
      </c>
      <c r="J166" s="22">
        <v>0</v>
      </c>
      <c r="K166" s="23">
        <v>0</v>
      </c>
      <c r="L166" s="23">
        <v>0</v>
      </c>
      <c r="M166" s="23"/>
      <c r="N166" s="23" t="s">
        <v>175</v>
      </c>
      <c r="O166" s="23" t="s">
        <v>201</v>
      </c>
      <c r="P166" s="23" t="s">
        <v>20</v>
      </c>
      <c r="Q166" s="23" t="s">
        <v>29</v>
      </c>
      <c r="R166" s="23">
        <f t="shared" si="20"/>
        <v>12000</v>
      </c>
      <c r="S166" s="22">
        <v>3000</v>
      </c>
      <c r="T166" s="23"/>
      <c r="U166" s="41">
        <f t="shared" si="21"/>
        <v>0.25</v>
      </c>
      <c r="V166" s="23">
        <v>15000</v>
      </c>
      <c r="W166" s="30"/>
      <c r="X166" s="31" t="s">
        <v>175</v>
      </c>
      <c r="Y166" s="31" t="s">
        <v>201</v>
      </c>
      <c r="Z166" s="31" t="s">
        <v>20</v>
      </c>
      <c r="AA166" s="32" t="s">
        <v>29</v>
      </c>
      <c r="AB166" s="34">
        <f t="shared" si="22"/>
        <v>15000</v>
      </c>
      <c r="AC166" s="33">
        <v>2000</v>
      </c>
      <c r="AE166" s="40">
        <f t="shared" si="23"/>
        <v>0.13333333333333333</v>
      </c>
      <c r="AF166" s="31">
        <f t="shared" si="19"/>
        <v>17000</v>
      </c>
    </row>
    <row r="167" spans="1:33" x14ac:dyDescent="0.25">
      <c r="A167" s="21"/>
      <c r="B167" s="21">
        <v>40592019</v>
      </c>
      <c r="C167" s="21" t="str">
        <f>VLOOKUP(B167,[1]PDL!$C:$K,8,FALSE)</f>
        <v>Abrar Rahman Siam</v>
      </c>
      <c r="D167" s="21"/>
      <c r="E167" s="22">
        <v>0</v>
      </c>
      <c r="F167" s="23">
        <v>0</v>
      </c>
      <c r="G167" s="23">
        <v>0</v>
      </c>
      <c r="H167" s="23">
        <v>0</v>
      </c>
      <c r="I167" s="23">
        <v>0</v>
      </c>
      <c r="J167" s="22">
        <v>0</v>
      </c>
      <c r="K167" s="23">
        <v>0</v>
      </c>
      <c r="L167" s="23">
        <v>0</v>
      </c>
      <c r="M167" s="23"/>
      <c r="N167" s="23" t="s">
        <v>175</v>
      </c>
      <c r="O167" s="23" t="s">
        <v>201</v>
      </c>
      <c r="P167" s="23" t="s">
        <v>238</v>
      </c>
      <c r="Q167" s="23" t="s">
        <v>240</v>
      </c>
      <c r="R167" s="23">
        <f t="shared" si="20"/>
        <v>18000</v>
      </c>
      <c r="S167" s="22">
        <v>7000</v>
      </c>
      <c r="T167" s="23"/>
      <c r="U167" s="41">
        <f t="shared" si="21"/>
        <v>0.3888888888888889</v>
      </c>
      <c r="V167" s="23">
        <v>25000</v>
      </c>
      <c r="W167" s="30"/>
      <c r="X167" s="31" t="s">
        <v>175</v>
      </c>
      <c r="Y167" s="31" t="s">
        <v>201</v>
      </c>
      <c r="Z167" s="31" t="s">
        <v>238</v>
      </c>
      <c r="AA167" s="32" t="s">
        <v>240</v>
      </c>
      <c r="AB167" s="34">
        <f t="shared" si="22"/>
        <v>25000</v>
      </c>
      <c r="AC167" s="33">
        <v>5000</v>
      </c>
      <c r="AE167" s="40">
        <f t="shared" si="23"/>
        <v>0.2</v>
      </c>
      <c r="AF167" s="31">
        <f t="shared" si="19"/>
        <v>30000</v>
      </c>
    </row>
    <row r="168" spans="1:33" x14ac:dyDescent="0.25">
      <c r="A168" s="21"/>
      <c r="B168" s="21">
        <v>40652019</v>
      </c>
      <c r="C168" s="21" t="str">
        <f>VLOOKUP(B168,[1]PDL!$C:$K,8,FALSE)</f>
        <v>Md. Arafat Hossain</v>
      </c>
      <c r="D168" s="21"/>
      <c r="E168" s="22">
        <v>0</v>
      </c>
      <c r="F168" s="23">
        <v>0</v>
      </c>
      <c r="G168" s="23">
        <v>0</v>
      </c>
      <c r="H168" s="23">
        <v>0</v>
      </c>
      <c r="I168" s="23">
        <v>0</v>
      </c>
      <c r="J168" s="22">
        <v>0</v>
      </c>
      <c r="K168" s="23">
        <v>0</v>
      </c>
      <c r="L168" s="23">
        <v>0</v>
      </c>
      <c r="M168" s="23"/>
      <c r="N168" s="23" t="s">
        <v>175</v>
      </c>
      <c r="O168" s="23" t="s">
        <v>201</v>
      </c>
      <c r="P168" s="23" t="s">
        <v>238</v>
      </c>
      <c r="Q168" s="23" t="s">
        <v>239</v>
      </c>
      <c r="R168" s="23">
        <f t="shared" si="20"/>
        <v>55000</v>
      </c>
      <c r="S168" s="22">
        <v>0</v>
      </c>
      <c r="T168" s="23"/>
      <c r="U168" s="41">
        <f t="shared" si="21"/>
        <v>0</v>
      </c>
      <c r="V168" s="23">
        <v>55000</v>
      </c>
      <c r="W168" s="30"/>
      <c r="X168" s="31" t="s">
        <v>175</v>
      </c>
      <c r="Y168" s="31" t="s">
        <v>201</v>
      </c>
      <c r="Z168" s="31" t="s">
        <v>238</v>
      </c>
      <c r="AA168" s="32" t="s">
        <v>239</v>
      </c>
      <c r="AB168" s="34">
        <f t="shared" si="22"/>
        <v>55000</v>
      </c>
      <c r="AC168" s="33">
        <v>7000</v>
      </c>
      <c r="AE168" s="40">
        <f t="shared" si="23"/>
        <v>0.12727272727272726</v>
      </c>
      <c r="AF168" s="31">
        <f t="shared" si="19"/>
        <v>62000</v>
      </c>
    </row>
    <row r="169" spans="1:33" x14ac:dyDescent="0.25">
      <c r="A169" s="21"/>
      <c r="B169" s="21">
        <v>40612019</v>
      </c>
      <c r="C169" s="21" t="s">
        <v>243</v>
      </c>
      <c r="D169" s="21"/>
      <c r="E169" s="22">
        <v>0</v>
      </c>
      <c r="F169" s="23">
        <v>0</v>
      </c>
      <c r="G169" s="23">
        <v>0</v>
      </c>
      <c r="H169" s="23">
        <v>0</v>
      </c>
      <c r="I169" s="23">
        <v>0</v>
      </c>
      <c r="J169" s="22">
        <v>0</v>
      </c>
      <c r="K169" s="23">
        <v>0</v>
      </c>
      <c r="L169" s="23">
        <v>0</v>
      </c>
      <c r="M169" s="23"/>
      <c r="N169" s="23" t="s">
        <v>175</v>
      </c>
      <c r="O169" s="23" t="s">
        <v>201</v>
      </c>
      <c r="P169" s="23" t="s">
        <v>238</v>
      </c>
      <c r="Q169" s="23" t="s">
        <v>240</v>
      </c>
      <c r="R169" s="23">
        <f t="shared" si="20"/>
        <v>15000</v>
      </c>
      <c r="S169" s="22">
        <v>5000</v>
      </c>
      <c r="T169" s="23"/>
      <c r="U169" s="41">
        <f t="shared" si="21"/>
        <v>0.33333333333333331</v>
      </c>
      <c r="V169" s="23">
        <v>20000</v>
      </c>
      <c r="W169" s="30"/>
      <c r="X169" s="31" t="s">
        <v>174</v>
      </c>
      <c r="AB169" s="34">
        <f t="shared" si="22"/>
        <v>0</v>
      </c>
    </row>
    <row r="170" spans="1:33" x14ac:dyDescent="0.25">
      <c r="A170" s="21"/>
      <c r="B170" s="21">
        <v>40622019</v>
      </c>
      <c r="C170" s="21" t="str">
        <f>VLOOKUP(B170,[1]PDL!$C:$K,8,FALSE)</f>
        <v>Md. Munirul Islam</v>
      </c>
      <c r="D170" s="21"/>
      <c r="E170" s="22">
        <v>0</v>
      </c>
      <c r="F170" s="23">
        <v>0</v>
      </c>
      <c r="G170" s="23">
        <v>0</v>
      </c>
      <c r="H170" s="23">
        <v>0</v>
      </c>
      <c r="I170" s="23">
        <v>0</v>
      </c>
      <c r="J170" s="22">
        <v>0</v>
      </c>
      <c r="K170" s="23">
        <v>0</v>
      </c>
      <c r="L170" s="23">
        <v>0</v>
      </c>
      <c r="M170" s="23"/>
      <c r="N170" s="23" t="s">
        <v>175</v>
      </c>
      <c r="O170" s="23" t="s">
        <v>201</v>
      </c>
      <c r="P170" s="23" t="s">
        <v>19</v>
      </c>
      <c r="Q170" s="23" t="s">
        <v>8</v>
      </c>
      <c r="R170" s="23">
        <f t="shared" si="20"/>
        <v>12000</v>
      </c>
      <c r="S170" s="22">
        <v>5000</v>
      </c>
      <c r="T170" s="23"/>
      <c r="U170" s="41">
        <f t="shared" si="21"/>
        <v>0.41666666666666669</v>
      </c>
      <c r="V170" s="23">
        <v>17000</v>
      </c>
      <c r="W170" s="30"/>
      <c r="X170" s="31" t="s">
        <v>175</v>
      </c>
      <c r="Y170" s="31" t="s">
        <v>201</v>
      </c>
      <c r="Z170" s="31" t="s">
        <v>19</v>
      </c>
      <c r="AA170" s="32" t="s">
        <v>8</v>
      </c>
      <c r="AB170" s="34">
        <f t="shared" si="22"/>
        <v>17000</v>
      </c>
      <c r="AC170" s="33">
        <v>5000</v>
      </c>
      <c r="AE170" s="40">
        <f t="shared" si="23"/>
        <v>0.29411764705882354</v>
      </c>
      <c r="AF170" s="31">
        <f t="shared" ref="AF170:AF172" si="24">V170+AC170</f>
        <v>22000</v>
      </c>
    </row>
    <row r="171" spans="1:33" x14ac:dyDescent="0.25">
      <c r="A171" s="21"/>
      <c r="B171" s="21">
        <v>40562019</v>
      </c>
      <c r="C171" s="21" t="s">
        <v>244</v>
      </c>
      <c r="D171" s="21"/>
      <c r="E171" s="22">
        <v>0</v>
      </c>
      <c r="F171" s="23">
        <v>0</v>
      </c>
      <c r="G171" s="23">
        <v>0</v>
      </c>
      <c r="H171" s="23">
        <v>0</v>
      </c>
      <c r="I171" s="23">
        <v>0</v>
      </c>
      <c r="J171" s="22">
        <v>0</v>
      </c>
      <c r="K171" s="23">
        <v>0</v>
      </c>
      <c r="L171" s="23">
        <v>0</v>
      </c>
      <c r="M171" s="23"/>
      <c r="N171" s="23" t="s">
        <v>175</v>
      </c>
      <c r="O171" s="23" t="s">
        <v>201</v>
      </c>
      <c r="P171" s="23" t="s">
        <v>19</v>
      </c>
      <c r="Q171" s="23" t="s">
        <v>8</v>
      </c>
      <c r="R171" s="23">
        <f t="shared" si="20"/>
        <v>15000</v>
      </c>
      <c r="S171" s="22">
        <v>0</v>
      </c>
      <c r="T171" s="23"/>
      <c r="U171" s="41">
        <f t="shared" si="21"/>
        <v>0</v>
      </c>
      <c r="V171" s="23">
        <v>15000</v>
      </c>
      <c r="W171" s="30"/>
      <c r="AB171" s="34">
        <f t="shared" si="22"/>
        <v>0</v>
      </c>
    </row>
    <row r="172" spans="1:33" x14ac:dyDescent="0.25">
      <c r="A172" s="21"/>
      <c r="B172" s="21">
        <v>40602019</v>
      </c>
      <c r="C172" s="21" t="str">
        <f>VLOOKUP(B172,[1]PDL!$C:$K,8,FALSE)</f>
        <v>Mohammad Rafiqul Islam</v>
      </c>
      <c r="D172" s="21"/>
      <c r="E172" s="22">
        <v>0</v>
      </c>
      <c r="F172" s="23">
        <v>0</v>
      </c>
      <c r="G172" s="23">
        <v>0</v>
      </c>
      <c r="H172" s="23">
        <v>0</v>
      </c>
      <c r="I172" s="23">
        <v>0</v>
      </c>
      <c r="J172" s="22">
        <v>0</v>
      </c>
      <c r="K172" s="23">
        <v>0</v>
      </c>
      <c r="L172" s="23">
        <v>0</v>
      </c>
      <c r="M172" s="23"/>
      <c r="N172" s="23" t="s">
        <v>175</v>
      </c>
      <c r="O172" s="23" t="s">
        <v>201</v>
      </c>
      <c r="P172" s="23" t="s">
        <v>245</v>
      </c>
      <c r="Q172" s="23" t="s">
        <v>246</v>
      </c>
      <c r="R172" s="23">
        <f t="shared" si="20"/>
        <v>150000</v>
      </c>
      <c r="S172" s="22">
        <v>0</v>
      </c>
      <c r="T172" s="23"/>
      <c r="U172" s="41">
        <f t="shared" si="21"/>
        <v>0</v>
      </c>
      <c r="V172" s="23">
        <v>150000</v>
      </c>
      <c r="W172" s="30"/>
      <c r="X172" s="31" t="s">
        <v>175</v>
      </c>
      <c r="Y172" s="31" t="s">
        <v>201</v>
      </c>
      <c r="Z172" s="31" t="s">
        <v>19</v>
      </c>
      <c r="AA172" s="32" t="s">
        <v>246</v>
      </c>
      <c r="AB172" s="34">
        <f t="shared" si="22"/>
        <v>150000</v>
      </c>
      <c r="AC172" s="33">
        <v>3000</v>
      </c>
      <c r="AE172" s="40">
        <f t="shared" si="23"/>
        <v>0.02</v>
      </c>
      <c r="AF172" s="31">
        <f t="shared" si="24"/>
        <v>153000</v>
      </c>
    </row>
    <row r="173" spans="1:33" x14ac:dyDescent="0.25">
      <c r="B173" s="1">
        <v>40732019</v>
      </c>
      <c r="C173" s="1" t="str">
        <f>VLOOKUP(B173,[1]PDL!$C:$K,8,FALSE)</f>
        <v>Shahriar Mahmud</v>
      </c>
      <c r="R173" s="2">
        <f t="shared" si="20"/>
        <v>0</v>
      </c>
      <c r="U173" s="41"/>
      <c r="X173" s="31" t="s">
        <v>175</v>
      </c>
      <c r="Y173" s="31" t="s">
        <v>201</v>
      </c>
      <c r="Z173" s="31" t="s">
        <v>19</v>
      </c>
      <c r="AA173" s="32" t="s">
        <v>8</v>
      </c>
      <c r="AB173" s="34">
        <f t="shared" si="22"/>
        <v>15000</v>
      </c>
      <c r="AC173" s="33">
        <v>7000</v>
      </c>
      <c r="AE173" s="40">
        <f t="shared" si="23"/>
        <v>0.46666666666666667</v>
      </c>
      <c r="AF173" s="31">
        <v>22000</v>
      </c>
    </row>
    <row r="174" spans="1:33" x14ac:dyDescent="0.25">
      <c r="B174" s="1">
        <v>40912020</v>
      </c>
      <c r="C174" s="1" t="str">
        <f>VLOOKUP(B174,[1]PDL!$C:$K,8,FALSE)</f>
        <v>Arifuzzaman Nur</v>
      </c>
      <c r="R174" s="2">
        <f t="shared" si="20"/>
        <v>0</v>
      </c>
      <c r="U174" s="41"/>
      <c r="X174" s="31" t="s">
        <v>175</v>
      </c>
      <c r="Y174" s="31" t="s">
        <v>201</v>
      </c>
      <c r="Z174" s="31" t="s">
        <v>19</v>
      </c>
      <c r="AA174" s="32" t="s">
        <v>8</v>
      </c>
      <c r="AB174" s="34">
        <f t="shared" si="22"/>
        <v>15000</v>
      </c>
      <c r="AC174" s="33">
        <v>5000</v>
      </c>
      <c r="AE174" s="40">
        <f t="shared" si="23"/>
        <v>0.33333333333333331</v>
      </c>
      <c r="AF174" s="31">
        <v>20000</v>
      </c>
    </row>
    <row r="175" spans="1:33" x14ac:dyDescent="0.25">
      <c r="B175" s="1">
        <v>40942020</v>
      </c>
      <c r="C175" s="1" t="str">
        <f>VLOOKUP(B175,[1]PDL!$C:$K,8,FALSE)</f>
        <v>Md. Tanveer Ahmed</v>
      </c>
      <c r="R175" s="2">
        <f t="shared" si="20"/>
        <v>0</v>
      </c>
      <c r="U175" s="41"/>
      <c r="X175" s="31" t="s">
        <v>175</v>
      </c>
      <c r="Y175" s="31" t="s">
        <v>201</v>
      </c>
      <c r="Z175" s="31" t="s">
        <v>19</v>
      </c>
      <c r="AA175" s="32" t="s">
        <v>8</v>
      </c>
      <c r="AB175" s="34">
        <f t="shared" si="22"/>
        <v>15000</v>
      </c>
      <c r="AC175" s="33">
        <v>5000</v>
      </c>
      <c r="AE175" s="40">
        <f t="shared" si="23"/>
        <v>0.33333333333333331</v>
      </c>
      <c r="AF175" s="31">
        <v>20000</v>
      </c>
    </row>
    <row r="176" spans="1:33" x14ac:dyDescent="0.25">
      <c r="B176" s="1">
        <v>40952020</v>
      </c>
      <c r="C176" s="1" t="str">
        <f>VLOOKUP(B176,[1]PDL!$C:$K,8,FALSE)</f>
        <v>Sheikh Mukarram Hussain</v>
      </c>
      <c r="R176" s="2">
        <f t="shared" si="20"/>
        <v>0</v>
      </c>
      <c r="U176" s="41"/>
      <c r="X176" s="31" t="s">
        <v>175</v>
      </c>
      <c r="Y176" s="31" t="s">
        <v>201</v>
      </c>
      <c r="Z176" s="31" t="s">
        <v>19</v>
      </c>
      <c r="AA176" s="32" t="s">
        <v>8</v>
      </c>
      <c r="AB176" s="34">
        <f t="shared" si="22"/>
        <v>15000</v>
      </c>
      <c r="AC176" s="33">
        <v>5000</v>
      </c>
      <c r="AE176" s="40">
        <f t="shared" si="23"/>
        <v>0.33333333333333331</v>
      </c>
      <c r="AF176" s="31">
        <v>20000</v>
      </c>
    </row>
    <row r="177" spans="2:32" x14ac:dyDescent="0.25">
      <c r="B177" s="1">
        <v>41012020</v>
      </c>
      <c r="C177" s="1" t="str">
        <f>VLOOKUP(B177,[1]PDL!$C:$K,8,FALSE)</f>
        <v>Sumon Mollah</v>
      </c>
      <c r="R177" s="2">
        <f t="shared" si="20"/>
        <v>0</v>
      </c>
      <c r="U177" s="41"/>
      <c r="X177" s="31" t="s">
        <v>175</v>
      </c>
      <c r="Y177" s="31" t="s">
        <v>201</v>
      </c>
      <c r="Z177" s="31" t="s">
        <v>19</v>
      </c>
      <c r="AA177" s="32" t="s">
        <v>27</v>
      </c>
      <c r="AB177" s="34">
        <f t="shared" si="22"/>
        <v>11000</v>
      </c>
      <c r="AC177" s="33">
        <v>5000</v>
      </c>
      <c r="AE177" s="40">
        <f t="shared" si="23"/>
        <v>0.45454545454545453</v>
      </c>
      <c r="AF177" s="31">
        <v>16000</v>
      </c>
    </row>
    <row r="178" spans="2:32" x14ac:dyDescent="0.25">
      <c r="B178" s="1">
        <v>41112020</v>
      </c>
      <c r="C178" s="1" t="str">
        <f>VLOOKUP(B178,[1]PDL!$C:$K,8,FALSE)</f>
        <v>Md. Delwer Hossain</v>
      </c>
      <c r="R178" s="2">
        <f t="shared" si="20"/>
        <v>0</v>
      </c>
      <c r="U178" s="41"/>
      <c r="X178" s="31" t="s">
        <v>175</v>
      </c>
      <c r="Y178" s="31" t="s">
        <v>201</v>
      </c>
      <c r="Z178" s="31" t="s">
        <v>19</v>
      </c>
      <c r="AA178" s="32" t="s">
        <v>21</v>
      </c>
      <c r="AB178" s="34">
        <f t="shared" si="22"/>
        <v>52000</v>
      </c>
      <c r="AC178" s="33">
        <v>0</v>
      </c>
      <c r="AF178" s="31">
        <v>52000</v>
      </c>
    </row>
    <row r="179" spans="2:32" x14ac:dyDescent="0.25">
      <c r="B179" s="1">
        <v>41062020</v>
      </c>
      <c r="C179" s="1" t="str">
        <f>VLOOKUP(B179,[1]PDL!$C:$K,8,FALSE)</f>
        <v>Md. Sharif Sarker</v>
      </c>
      <c r="R179" s="2">
        <f t="shared" si="20"/>
        <v>0</v>
      </c>
      <c r="U179" s="41"/>
      <c r="X179" s="31" t="s">
        <v>175</v>
      </c>
      <c r="Y179" s="31" t="s">
        <v>201</v>
      </c>
      <c r="Z179" s="31" t="s">
        <v>245</v>
      </c>
      <c r="AA179" s="32" t="s">
        <v>21</v>
      </c>
      <c r="AB179" s="34">
        <f t="shared" si="22"/>
        <v>42000</v>
      </c>
      <c r="AC179" s="33">
        <v>0</v>
      </c>
      <c r="AF179" s="31">
        <v>42000</v>
      </c>
    </row>
    <row r="180" spans="2:32" x14ac:dyDescent="0.25">
      <c r="B180" s="1">
        <v>30250000</v>
      </c>
      <c r="C180" s="1" t="str">
        <f>VLOOKUP(B180,[1]PDL!$C:$K,8,FALSE)</f>
        <v>Md. Habibur Rahman Siddique</v>
      </c>
      <c r="J180" s="3">
        <v>5000</v>
      </c>
      <c r="L180" s="2">
        <v>52000</v>
      </c>
      <c r="R180" s="2">
        <f t="shared" si="20"/>
        <v>52000</v>
      </c>
      <c r="S180" s="3">
        <v>8000</v>
      </c>
      <c r="U180" s="41">
        <f t="shared" si="21"/>
        <v>0.15384615384615385</v>
      </c>
      <c r="V180" s="2">
        <v>60000</v>
      </c>
      <c r="X180" s="31" t="s">
        <v>175</v>
      </c>
      <c r="Y180" s="31" t="s">
        <v>201</v>
      </c>
      <c r="Z180" s="31" t="s">
        <v>258</v>
      </c>
      <c r="AA180" s="32" t="s">
        <v>130</v>
      </c>
      <c r="AB180" s="34">
        <f t="shared" si="22"/>
        <v>60000</v>
      </c>
      <c r="AC180" s="33">
        <v>10000</v>
      </c>
      <c r="AE180" s="40">
        <f t="shared" si="23"/>
        <v>0.16666666666666666</v>
      </c>
      <c r="AF180" s="31">
        <v>70000</v>
      </c>
    </row>
    <row r="181" spans="2:32" x14ac:dyDescent="0.25">
      <c r="B181" s="1">
        <v>30702018</v>
      </c>
      <c r="C181" s="1" t="str">
        <f>VLOOKUP(B181,[1]PDL!$C:$K,8,FALSE)</f>
        <v>Md. Humayun Kobir</v>
      </c>
      <c r="R181" s="2">
        <f t="shared" si="20"/>
        <v>24000</v>
      </c>
      <c r="S181" s="3">
        <v>6000</v>
      </c>
      <c r="U181" s="41">
        <f t="shared" si="21"/>
        <v>0.25</v>
      </c>
      <c r="V181" s="2">
        <v>30000</v>
      </c>
      <c r="X181" s="31" t="s">
        <v>175</v>
      </c>
      <c r="Y181" s="31" t="s">
        <v>201</v>
      </c>
      <c r="Z181" s="31" t="s">
        <v>258</v>
      </c>
      <c r="AA181" s="32" t="s">
        <v>3</v>
      </c>
      <c r="AB181" s="34">
        <f t="shared" si="22"/>
        <v>30000</v>
      </c>
      <c r="AC181" s="33">
        <v>5000</v>
      </c>
      <c r="AE181" s="40">
        <f t="shared" si="23"/>
        <v>0.16666666666666666</v>
      </c>
      <c r="AF181" s="31">
        <v>35000</v>
      </c>
    </row>
    <row r="182" spans="2:32" x14ac:dyDescent="0.25">
      <c r="B182" s="1">
        <v>40962020</v>
      </c>
      <c r="C182" s="1" t="s">
        <v>259</v>
      </c>
      <c r="R182" s="2">
        <f t="shared" si="20"/>
        <v>0</v>
      </c>
      <c r="U182" s="41"/>
      <c r="X182" s="31" t="s">
        <v>175</v>
      </c>
      <c r="Y182" s="31" t="s">
        <v>201</v>
      </c>
      <c r="Z182" s="31" t="s">
        <v>20</v>
      </c>
      <c r="AA182" s="32" t="s">
        <v>27</v>
      </c>
      <c r="AB182" s="34">
        <f t="shared" si="22"/>
        <v>12000</v>
      </c>
      <c r="AC182" s="33">
        <v>0</v>
      </c>
      <c r="AF182" s="31">
        <v>12000</v>
      </c>
    </row>
    <row r="183" spans="2:32" x14ac:dyDescent="0.25">
      <c r="B183" s="1">
        <v>40972020</v>
      </c>
      <c r="C183" s="1" t="str">
        <f>VLOOKUP(B183,[1]PDL!$C:$K,8,FALSE)</f>
        <v>Bayazid Hossen Gulzar</v>
      </c>
      <c r="R183" s="2">
        <f t="shared" si="20"/>
        <v>0</v>
      </c>
      <c r="U183" s="41"/>
      <c r="X183" s="31" t="s">
        <v>175</v>
      </c>
      <c r="Y183" s="31" t="s">
        <v>201</v>
      </c>
      <c r="Z183" s="31" t="s">
        <v>20</v>
      </c>
      <c r="AA183" s="32" t="s">
        <v>27</v>
      </c>
      <c r="AB183" s="34">
        <f t="shared" si="22"/>
        <v>12000</v>
      </c>
      <c r="AC183" s="33">
        <v>5000</v>
      </c>
      <c r="AE183" s="40">
        <f t="shared" si="23"/>
        <v>0.41666666666666669</v>
      </c>
      <c r="AF183" s="31">
        <v>17000</v>
      </c>
    </row>
    <row r="184" spans="2:32" x14ac:dyDescent="0.25">
      <c r="B184" s="1">
        <v>40822019</v>
      </c>
      <c r="C184" s="1" t="str">
        <f>VLOOKUP(B184,[1]PDL!$C:$K,8,FALSE)</f>
        <v>Md. Ashiqur Rahman</v>
      </c>
      <c r="R184" s="2">
        <f t="shared" si="20"/>
        <v>0</v>
      </c>
      <c r="U184" s="41"/>
      <c r="X184" s="31" t="s">
        <v>175</v>
      </c>
      <c r="Y184" s="31" t="s">
        <v>201</v>
      </c>
      <c r="Z184" s="31" t="s">
        <v>36</v>
      </c>
      <c r="AA184" s="32" t="s">
        <v>130</v>
      </c>
      <c r="AB184" s="34">
        <f t="shared" si="22"/>
        <v>120000</v>
      </c>
      <c r="AC184" s="33">
        <v>5000</v>
      </c>
      <c r="AE184" s="40">
        <f t="shared" si="23"/>
        <v>4.1666666666666664E-2</v>
      </c>
      <c r="AF184" s="31">
        <v>125000</v>
      </c>
    </row>
    <row r="185" spans="2:32" x14ac:dyDescent="0.25">
      <c r="B185" s="1">
        <v>41032020</v>
      </c>
      <c r="C185" s="1" t="str">
        <f>VLOOKUP(B185,[1]PDL!$C:$K,8,FALSE)</f>
        <v>Md. Hemaet Ullah</v>
      </c>
      <c r="R185" s="2">
        <f t="shared" si="20"/>
        <v>0</v>
      </c>
      <c r="U185" s="41"/>
      <c r="X185" s="31" t="s">
        <v>175</v>
      </c>
      <c r="Y185" s="31" t="s">
        <v>201</v>
      </c>
      <c r="Z185" s="31" t="s">
        <v>36</v>
      </c>
      <c r="AA185" s="32" t="s">
        <v>6</v>
      </c>
      <c r="AB185" s="34">
        <f t="shared" si="22"/>
        <v>10000</v>
      </c>
      <c r="AC185" s="33">
        <v>5000</v>
      </c>
      <c r="AE185" s="40">
        <f t="shared" si="23"/>
        <v>0.5</v>
      </c>
      <c r="AF185" s="31">
        <v>15000</v>
      </c>
    </row>
    <row r="186" spans="2:32" x14ac:dyDescent="0.25">
      <c r="B186" s="1">
        <v>41072020</v>
      </c>
      <c r="C186" s="1" t="str">
        <f>VLOOKUP(B186,[1]PDL!$C:$K,8,FALSE)</f>
        <v>Mohammad Tofajjal Hossain</v>
      </c>
      <c r="R186" s="2">
        <f t="shared" si="20"/>
        <v>0</v>
      </c>
      <c r="U186" s="41"/>
      <c r="X186" s="31" t="s">
        <v>175</v>
      </c>
      <c r="Y186" s="31" t="s">
        <v>201</v>
      </c>
      <c r="Z186" s="31" t="s">
        <v>138</v>
      </c>
      <c r="AA186" s="32" t="s">
        <v>5</v>
      </c>
      <c r="AB186" s="34">
        <f t="shared" si="22"/>
        <v>15000</v>
      </c>
      <c r="AC186" s="33">
        <v>5000</v>
      </c>
      <c r="AE186" s="40">
        <f t="shared" si="23"/>
        <v>0.33333333333333331</v>
      </c>
      <c r="AF186" s="31">
        <v>20000</v>
      </c>
    </row>
    <row r="187" spans="2:32" x14ac:dyDescent="0.25">
      <c r="B187" s="1">
        <v>10102012</v>
      </c>
      <c r="C187" s="1" t="str">
        <f>VLOOKUP(B187,[1]PDL!$C:$K,8,FALSE)</f>
        <v>Md. Tyoubur Rahman</v>
      </c>
      <c r="R187" s="2">
        <f t="shared" si="20"/>
        <v>0</v>
      </c>
      <c r="U187" s="41"/>
      <c r="X187" s="31" t="s">
        <v>175</v>
      </c>
      <c r="Y187" s="31" t="s">
        <v>201</v>
      </c>
      <c r="Z187" s="31" t="s">
        <v>146</v>
      </c>
      <c r="AA187" s="32" t="s">
        <v>261</v>
      </c>
      <c r="AB187" s="34">
        <f t="shared" si="22"/>
        <v>70000</v>
      </c>
      <c r="AC187" s="33">
        <v>0</v>
      </c>
      <c r="AF187" s="31">
        <v>70000</v>
      </c>
    </row>
    <row r="188" spans="2:32" x14ac:dyDescent="0.25">
      <c r="B188" s="1">
        <v>41142020</v>
      </c>
      <c r="C188" s="1" t="str">
        <f>VLOOKUP(B188,[1]PDL!$C:$K,8,FALSE)</f>
        <v>Md. Ashraful Alam</v>
      </c>
      <c r="R188" s="2">
        <f t="shared" si="20"/>
        <v>0</v>
      </c>
      <c r="U188" s="41"/>
      <c r="X188" s="31" t="s">
        <v>175</v>
      </c>
      <c r="Y188" s="31" t="s">
        <v>201</v>
      </c>
      <c r="Z188" s="31" t="s">
        <v>146</v>
      </c>
      <c r="AA188" s="32" t="s">
        <v>262</v>
      </c>
      <c r="AB188" s="34">
        <f t="shared" si="22"/>
        <v>40000</v>
      </c>
      <c r="AC188" s="33">
        <v>0</v>
      </c>
      <c r="AF188" s="31">
        <v>40000</v>
      </c>
    </row>
    <row r="189" spans="2:32" x14ac:dyDescent="0.25">
      <c r="B189" s="1">
        <v>41152020</v>
      </c>
      <c r="C189" s="1" t="str">
        <f>VLOOKUP(B189,[1]PDL!$C:$K,8,FALSE)</f>
        <v>Md. Hasan Uzzaman</v>
      </c>
      <c r="R189" s="2">
        <f t="shared" si="20"/>
        <v>0</v>
      </c>
      <c r="U189" s="41"/>
      <c r="X189" s="31" t="s">
        <v>175</v>
      </c>
      <c r="Y189" s="31" t="s">
        <v>201</v>
      </c>
      <c r="Z189" s="31" t="s">
        <v>146</v>
      </c>
      <c r="AA189" s="32" t="s">
        <v>262</v>
      </c>
      <c r="AB189" s="34">
        <f t="shared" si="22"/>
        <v>45000</v>
      </c>
      <c r="AC189" s="33">
        <v>0</v>
      </c>
      <c r="AF189" s="31">
        <v>45000</v>
      </c>
    </row>
    <row r="190" spans="2:32" x14ac:dyDescent="0.25">
      <c r="B190" s="1">
        <v>41122020</v>
      </c>
      <c r="C190" s="1" t="str">
        <f>VLOOKUP(B190,[1]PDL!$C:$K,8,FALSE)</f>
        <v>Mahbubur Rahman Chowdhury</v>
      </c>
      <c r="R190" s="2">
        <f t="shared" si="20"/>
        <v>0</v>
      </c>
      <c r="U190" s="41"/>
      <c r="X190" s="31" t="s">
        <v>175</v>
      </c>
      <c r="Y190" s="31" t="s">
        <v>201</v>
      </c>
      <c r="Z190" s="31" t="s">
        <v>37</v>
      </c>
      <c r="AA190" s="32" t="s">
        <v>3</v>
      </c>
      <c r="AB190" s="34">
        <f t="shared" si="22"/>
        <v>28000</v>
      </c>
      <c r="AC190" s="33">
        <v>0</v>
      </c>
      <c r="AF190" s="31">
        <v>28000</v>
      </c>
    </row>
    <row r="191" spans="2:32" x14ac:dyDescent="0.25">
      <c r="B191" s="1">
        <v>41132020</v>
      </c>
      <c r="C191" s="1" t="str">
        <f>VLOOKUP(B191,[1]PDL!$C:$K,8,FALSE)</f>
        <v>Md. Ariful Islam</v>
      </c>
      <c r="R191" s="2">
        <f t="shared" si="20"/>
        <v>0</v>
      </c>
      <c r="U191" s="41"/>
      <c r="X191" s="31" t="s">
        <v>175</v>
      </c>
      <c r="Y191" s="31" t="s">
        <v>201</v>
      </c>
      <c r="Z191" s="31" t="s">
        <v>37</v>
      </c>
      <c r="AA191" s="32" t="s">
        <v>3</v>
      </c>
      <c r="AB191" s="34">
        <f t="shared" si="22"/>
        <v>28000</v>
      </c>
      <c r="AC191" s="33">
        <v>0</v>
      </c>
      <c r="AF191" s="31">
        <v>28000</v>
      </c>
    </row>
    <row r="192" spans="2:32" x14ac:dyDescent="0.25">
      <c r="B192" s="1">
        <v>41162020</v>
      </c>
      <c r="C192" s="1" t="str">
        <f>VLOOKUP(B192,[1]PDL!$C:$K,8,FALSE)</f>
        <v>Omar Khaium</v>
      </c>
      <c r="R192" s="2">
        <f t="shared" si="20"/>
        <v>0</v>
      </c>
      <c r="U192" s="41"/>
      <c r="X192" s="31" t="s">
        <v>175</v>
      </c>
      <c r="Y192" s="31" t="s">
        <v>201</v>
      </c>
      <c r="Z192" s="31" t="s">
        <v>37</v>
      </c>
      <c r="AA192" s="32" t="s">
        <v>130</v>
      </c>
      <c r="AB192" s="34">
        <f t="shared" si="22"/>
        <v>63000</v>
      </c>
      <c r="AC192" s="33">
        <v>0</v>
      </c>
      <c r="AF192" s="31">
        <v>63000</v>
      </c>
    </row>
    <row r="193" spans="2:32" x14ac:dyDescent="0.25">
      <c r="B193" s="1">
        <v>41052020</v>
      </c>
      <c r="C193" s="1" t="str">
        <f>VLOOKUP(B193,[1]PDL!$C:$K,8,FALSE)</f>
        <v>Muhammad Zakir Hossain</v>
      </c>
      <c r="R193" s="2">
        <f t="shared" si="20"/>
        <v>0</v>
      </c>
      <c r="U193" s="41"/>
      <c r="X193" s="31" t="s">
        <v>175</v>
      </c>
      <c r="Y193" s="31" t="s">
        <v>201</v>
      </c>
      <c r="Z193" s="31" t="s">
        <v>238</v>
      </c>
      <c r="AA193" s="32" t="s">
        <v>17</v>
      </c>
      <c r="AB193" s="34">
        <f t="shared" si="22"/>
        <v>300000</v>
      </c>
      <c r="AC193" s="33">
        <v>0</v>
      </c>
      <c r="AF193" s="31">
        <v>300000</v>
      </c>
    </row>
    <row r="194" spans="2:32" x14ac:dyDescent="0.25">
      <c r="B194" s="1">
        <v>41102020</v>
      </c>
      <c r="C194" s="1" t="str">
        <f>VLOOKUP(B194,[1]PDL!$C:$K,8,FALSE)</f>
        <v>Md. Johan Islam</v>
      </c>
      <c r="R194" s="2">
        <f t="shared" si="20"/>
        <v>0</v>
      </c>
      <c r="U194" s="41"/>
      <c r="X194" s="31" t="s">
        <v>175</v>
      </c>
      <c r="Y194" s="31" t="s">
        <v>201</v>
      </c>
      <c r="Z194" s="31" t="s">
        <v>238</v>
      </c>
      <c r="AA194" s="32" t="s">
        <v>239</v>
      </c>
      <c r="AB194" s="34">
        <f t="shared" si="22"/>
        <v>70000</v>
      </c>
      <c r="AC194" s="33">
        <v>0</v>
      </c>
      <c r="AF194" s="31">
        <v>70000</v>
      </c>
    </row>
    <row r="195" spans="2:32" x14ac:dyDescent="0.25">
      <c r="B195" s="1">
        <v>40772019</v>
      </c>
      <c r="C195" s="1" t="str">
        <f>VLOOKUP(B195,[1]PDL!$C:$K,8,FALSE)</f>
        <v>Md. Emran Hossain Khan</v>
      </c>
      <c r="R195" s="2">
        <f t="shared" ref="R195:R248" si="25">V195-S195</f>
        <v>0</v>
      </c>
      <c r="U195" s="41"/>
      <c r="X195" s="31" t="s">
        <v>175</v>
      </c>
      <c r="Y195" s="31" t="s">
        <v>201</v>
      </c>
      <c r="Z195" s="31" t="s">
        <v>238</v>
      </c>
      <c r="AA195" s="32" t="s">
        <v>240</v>
      </c>
      <c r="AB195" s="34">
        <f t="shared" ref="AB195:AB248" si="26">AF195-AC195</f>
        <v>15000</v>
      </c>
      <c r="AC195" s="33">
        <v>7000</v>
      </c>
      <c r="AE195" s="40">
        <f t="shared" ref="AE195:AE248" si="27">AC195/AB195</f>
        <v>0.46666666666666667</v>
      </c>
      <c r="AF195" s="31">
        <v>22000</v>
      </c>
    </row>
    <row r="196" spans="2:32" x14ac:dyDescent="0.25">
      <c r="B196" s="1">
        <v>40922020</v>
      </c>
      <c r="C196" s="1" t="str">
        <f>VLOOKUP(B196,[1]PDL!$C:$K,8,FALSE)</f>
        <v>Md. Syed Mizanul Huq</v>
      </c>
      <c r="R196" s="2">
        <f t="shared" si="25"/>
        <v>0</v>
      </c>
      <c r="U196" s="41"/>
      <c r="X196" s="31" t="s">
        <v>175</v>
      </c>
      <c r="Y196" s="31" t="s">
        <v>201</v>
      </c>
      <c r="Z196" s="31" t="s">
        <v>238</v>
      </c>
      <c r="AA196" s="32" t="s">
        <v>8</v>
      </c>
      <c r="AB196" s="34">
        <f t="shared" si="26"/>
        <v>15000</v>
      </c>
      <c r="AC196" s="33">
        <v>7000</v>
      </c>
      <c r="AE196" s="40">
        <f t="shared" si="27"/>
        <v>0.46666666666666667</v>
      </c>
      <c r="AF196" s="31">
        <v>22000</v>
      </c>
    </row>
    <row r="197" spans="2:32" x14ac:dyDescent="0.25">
      <c r="B197" s="1">
        <v>41172020</v>
      </c>
      <c r="C197" s="1" t="str">
        <f>VLOOKUP(B197,[1]PDL!$C:$K,8,FALSE)</f>
        <v>Asif Wares Khan</v>
      </c>
      <c r="R197" s="2">
        <f t="shared" si="25"/>
        <v>0</v>
      </c>
      <c r="U197" s="41"/>
      <c r="X197" s="31" t="s">
        <v>175</v>
      </c>
      <c r="Y197" s="31" t="s">
        <v>201</v>
      </c>
      <c r="Z197" s="31" t="s">
        <v>238</v>
      </c>
      <c r="AA197" s="32" t="s">
        <v>264</v>
      </c>
      <c r="AB197" s="34">
        <f t="shared" si="26"/>
        <v>125000</v>
      </c>
      <c r="AC197" s="33">
        <v>0</v>
      </c>
      <c r="AE197" s="40">
        <f t="shared" si="27"/>
        <v>0</v>
      </c>
      <c r="AF197" s="31">
        <v>125000</v>
      </c>
    </row>
    <row r="198" spans="2:32" x14ac:dyDescent="0.25">
      <c r="B198" s="1">
        <v>41192020</v>
      </c>
      <c r="C198" s="1" t="str">
        <f>VLOOKUP(B198,[1]PDL!$C:$K,8,FALSE)</f>
        <v>Md. Kamal Hossain</v>
      </c>
      <c r="R198" s="2">
        <f t="shared" si="25"/>
        <v>0</v>
      </c>
      <c r="U198" s="41"/>
      <c r="X198" s="31" t="s">
        <v>175</v>
      </c>
      <c r="Y198" s="31" t="s">
        <v>201</v>
      </c>
      <c r="Z198" s="31" t="s">
        <v>238</v>
      </c>
      <c r="AA198" s="32" t="s">
        <v>239</v>
      </c>
      <c r="AB198" s="34">
        <f t="shared" si="26"/>
        <v>80000</v>
      </c>
      <c r="AC198" s="33">
        <v>0</v>
      </c>
      <c r="AE198" s="40">
        <f t="shared" si="27"/>
        <v>0</v>
      </c>
      <c r="AF198" s="31">
        <v>80000</v>
      </c>
    </row>
    <row r="199" spans="2:32" x14ac:dyDescent="0.25">
      <c r="B199" s="1">
        <v>40782019</v>
      </c>
      <c r="C199" s="1" t="str">
        <f>VLOOKUP(B199,[1]PDL!$C:$K,8,FALSE)</f>
        <v>Abu Saleh Md Musa</v>
      </c>
      <c r="R199" s="2">
        <f t="shared" si="25"/>
        <v>0</v>
      </c>
      <c r="U199" s="41"/>
      <c r="X199" s="31" t="s">
        <v>175</v>
      </c>
      <c r="Y199" s="31" t="s">
        <v>201</v>
      </c>
      <c r="Z199" s="31" t="s">
        <v>238</v>
      </c>
      <c r="AA199" s="32" t="s">
        <v>240</v>
      </c>
      <c r="AB199" s="34">
        <f t="shared" si="26"/>
        <v>15000</v>
      </c>
      <c r="AC199" s="33">
        <v>10000</v>
      </c>
      <c r="AE199" s="40">
        <f t="shared" si="27"/>
        <v>0.66666666666666663</v>
      </c>
      <c r="AF199" s="31">
        <v>25000</v>
      </c>
    </row>
    <row r="200" spans="2:32" x14ac:dyDescent="0.25">
      <c r="B200" s="1">
        <v>41022020</v>
      </c>
      <c r="C200" s="1" t="str">
        <f>VLOOKUP(B200,[1]PDL!$C:$K,8,FALSE)</f>
        <v>Md. Asad Ullah</v>
      </c>
      <c r="R200" s="2">
        <f t="shared" si="25"/>
        <v>0</v>
      </c>
      <c r="U200" s="41"/>
      <c r="X200" s="31" t="s">
        <v>175</v>
      </c>
      <c r="Y200" s="31" t="s">
        <v>201</v>
      </c>
      <c r="Z200" s="31" t="s">
        <v>238</v>
      </c>
      <c r="AA200" s="32" t="s">
        <v>240</v>
      </c>
      <c r="AB200" s="34">
        <f t="shared" si="26"/>
        <v>40000</v>
      </c>
      <c r="AC200" s="33">
        <v>5000</v>
      </c>
      <c r="AE200" s="40">
        <f t="shared" si="27"/>
        <v>0.125</v>
      </c>
      <c r="AF200" s="31">
        <v>45000</v>
      </c>
    </row>
    <row r="201" spans="2:32" x14ac:dyDescent="0.25">
      <c r="B201" s="1">
        <v>40672019</v>
      </c>
      <c r="C201" s="1" t="str">
        <f>VLOOKUP(B201,[1]PDL!$C:$K,8,FALSE)</f>
        <v>Daud Bin Jafar</v>
      </c>
      <c r="R201" s="2">
        <f t="shared" si="25"/>
        <v>0</v>
      </c>
      <c r="U201" s="41"/>
      <c r="X201" s="31" t="s">
        <v>175</v>
      </c>
      <c r="Y201" s="31" t="s">
        <v>201</v>
      </c>
      <c r="Z201" s="31" t="s">
        <v>238</v>
      </c>
      <c r="AA201" s="32" t="s">
        <v>17</v>
      </c>
      <c r="AB201" s="34">
        <f t="shared" si="26"/>
        <v>225000</v>
      </c>
      <c r="AC201" s="33">
        <v>0</v>
      </c>
      <c r="AF201" s="31">
        <v>225000</v>
      </c>
    </row>
    <row r="202" spans="2:32" x14ac:dyDescent="0.25">
      <c r="B202" s="1">
        <v>40892019</v>
      </c>
      <c r="C202" s="1" t="str">
        <f>VLOOKUP(B202,[1]PDL!$C:$K,8,FALSE)</f>
        <v>Md. Zakir Hossain</v>
      </c>
      <c r="R202" s="2">
        <f t="shared" si="25"/>
        <v>0</v>
      </c>
      <c r="U202" s="41"/>
      <c r="X202" s="31" t="s">
        <v>175</v>
      </c>
      <c r="Y202" s="31" t="s">
        <v>201</v>
      </c>
      <c r="Z202" s="31" t="s">
        <v>238</v>
      </c>
      <c r="AA202" s="32" t="s">
        <v>264</v>
      </c>
      <c r="AB202" s="34">
        <f t="shared" si="26"/>
        <v>90000</v>
      </c>
      <c r="AC202" s="33">
        <v>0</v>
      </c>
      <c r="AF202" s="31">
        <v>90000</v>
      </c>
    </row>
    <row r="203" spans="2:32" x14ac:dyDescent="0.25">
      <c r="B203" s="1">
        <v>40872019</v>
      </c>
      <c r="C203" s="1" t="str">
        <f>VLOOKUP(B203,[1]PDL!$C:$K,8,FALSE)</f>
        <v>Md. Arfatul Islam Tanjil</v>
      </c>
      <c r="R203" s="2">
        <f t="shared" si="25"/>
        <v>0</v>
      </c>
      <c r="U203" s="41"/>
      <c r="X203" s="31" t="s">
        <v>175</v>
      </c>
      <c r="Y203" s="31" t="s">
        <v>201</v>
      </c>
      <c r="Z203" s="31" t="s">
        <v>238</v>
      </c>
      <c r="AA203" s="32" t="s">
        <v>240</v>
      </c>
      <c r="AB203" s="34">
        <f t="shared" si="26"/>
        <v>40000</v>
      </c>
      <c r="AC203" s="33">
        <v>5000</v>
      </c>
      <c r="AE203" s="40">
        <f t="shared" si="27"/>
        <v>0.125</v>
      </c>
      <c r="AF203" s="31">
        <v>45000</v>
      </c>
    </row>
    <row r="204" spans="2:32" x14ac:dyDescent="0.25">
      <c r="B204" s="1">
        <v>40932020</v>
      </c>
      <c r="C204" s="1" t="str">
        <f>VLOOKUP(B204,[1]PDL!$C:$K,8,FALSE)</f>
        <v>Md. Mahedi Hasan</v>
      </c>
      <c r="R204" s="2">
        <f t="shared" si="25"/>
        <v>0</v>
      </c>
      <c r="U204" s="41"/>
      <c r="X204" s="31" t="s">
        <v>175</v>
      </c>
      <c r="Y204" s="31" t="s">
        <v>201</v>
      </c>
      <c r="Z204" s="31" t="s">
        <v>238</v>
      </c>
      <c r="AA204" s="32" t="s">
        <v>8</v>
      </c>
      <c r="AB204" s="34">
        <f t="shared" si="26"/>
        <v>15000</v>
      </c>
      <c r="AC204" s="33">
        <v>10000</v>
      </c>
      <c r="AE204" s="40">
        <f t="shared" si="27"/>
        <v>0.66666666666666663</v>
      </c>
      <c r="AF204" s="31">
        <v>25000</v>
      </c>
    </row>
    <row r="205" spans="2:32" x14ac:dyDescent="0.25">
      <c r="B205" s="1">
        <v>40982020</v>
      </c>
      <c r="C205" s="1" t="str">
        <f>VLOOKUP(B205,[1]PDL!$C:$K,8,FALSE)</f>
        <v>Md. Hafijur Rahman</v>
      </c>
      <c r="R205" s="2">
        <f t="shared" si="25"/>
        <v>0</v>
      </c>
      <c r="U205" s="41"/>
      <c r="X205" s="31" t="s">
        <v>175</v>
      </c>
      <c r="Y205" s="31" t="s">
        <v>201</v>
      </c>
      <c r="Z205" s="31" t="s">
        <v>238</v>
      </c>
      <c r="AA205" s="32" t="s">
        <v>8</v>
      </c>
      <c r="AB205" s="34">
        <f t="shared" si="26"/>
        <v>25000</v>
      </c>
      <c r="AC205" s="33">
        <v>0</v>
      </c>
      <c r="AF205" s="31">
        <v>25000</v>
      </c>
    </row>
    <row r="206" spans="2:32" x14ac:dyDescent="0.25">
      <c r="B206" s="1">
        <v>40842019</v>
      </c>
      <c r="C206" s="1" t="str">
        <f>VLOOKUP(B206,[1]PDL!$C:$K,8,FALSE)</f>
        <v>Md. Sahed Ahmed</v>
      </c>
      <c r="R206" s="2">
        <f t="shared" si="25"/>
        <v>0</v>
      </c>
      <c r="U206" s="41"/>
      <c r="X206" s="31" t="s">
        <v>175</v>
      </c>
      <c r="Y206" s="31" t="s">
        <v>201</v>
      </c>
      <c r="Z206" s="31" t="s">
        <v>266</v>
      </c>
      <c r="AA206" s="32" t="s">
        <v>135</v>
      </c>
      <c r="AB206" s="34">
        <f t="shared" si="26"/>
        <v>41000</v>
      </c>
      <c r="AC206" s="33">
        <v>5000</v>
      </c>
      <c r="AE206" s="40">
        <f t="shared" si="27"/>
        <v>0.12195121951219512</v>
      </c>
      <c r="AF206" s="31">
        <v>46000</v>
      </c>
    </row>
    <row r="207" spans="2:32" x14ac:dyDescent="0.25">
      <c r="B207" s="1">
        <v>40852019</v>
      </c>
      <c r="C207" s="1" t="str">
        <f>VLOOKUP(B207,[1]PDL!$C:$K,8,FALSE)</f>
        <v>Sohel Mahmud</v>
      </c>
      <c r="R207" s="2">
        <f t="shared" si="25"/>
        <v>0</v>
      </c>
      <c r="U207" s="41"/>
      <c r="X207" s="31" t="s">
        <v>175</v>
      </c>
      <c r="Y207" s="31" t="s">
        <v>201</v>
      </c>
      <c r="Z207" s="31" t="s">
        <v>266</v>
      </c>
      <c r="AA207" s="32" t="s">
        <v>5</v>
      </c>
      <c r="AB207" s="34">
        <f t="shared" si="26"/>
        <v>39000</v>
      </c>
      <c r="AC207" s="33">
        <v>5000</v>
      </c>
      <c r="AE207" s="40">
        <f t="shared" si="27"/>
        <v>0.12820512820512819</v>
      </c>
      <c r="AF207" s="31">
        <v>44000</v>
      </c>
    </row>
    <row r="208" spans="2:32" x14ac:dyDescent="0.25">
      <c r="B208" s="1">
        <v>40902019</v>
      </c>
      <c r="C208" s="1" t="str">
        <f>VLOOKUP(B208,[1]PDL!$C:$K,8,FALSE)</f>
        <v>All Imran Khan</v>
      </c>
      <c r="R208" s="2">
        <f t="shared" si="25"/>
        <v>0</v>
      </c>
      <c r="U208" s="41"/>
      <c r="X208" s="31" t="s">
        <v>175</v>
      </c>
      <c r="Y208" s="31" t="s">
        <v>201</v>
      </c>
      <c r="Z208" s="31" t="s">
        <v>266</v>
      </c>
      <c r="AA208" s="32" t="s">
        <v>267</v>
      </c>
      <c r="AB208" s="34">
        <f t="shared" si="26"/>
        <v>150000</v>
      </c>
      <c r="AC208" s="33">
        <v>7000</v>
      </c>
      <c r="AE208" s="40">
        <f t="shared" si="27"/>
        <v>4.6666666666666669E-2</v>
      </c>
      <c r="AF208" s="31">
        <v>157000</v>
      </c>
    </row>
    <row r="209" spans="2:32" x14ac:dyDescent="0.25">
      <c r="B209" s="1">
        <v>11392020</v>
      </c>
      <c r="C209" s="1" t="str">
        <f>VLOOKUP(B209,[1]BTL!$C:$K,8,FALSE)</f>
        <v>Md. Anisur Rahman</v>
      </c>
      <c r="R209" s="2">
        <f t="shared" si="25"/>
        <v>0</v>
      </c>
      <c r="U209" s="41"/>
      <c r="X209" s="31" t="s">
        <v>175</v>
      </c>
      <c r="Y209" s="31" t="s">
        <v>7</v>
      </c>
      <c r="Z209" s="31" t="s">
        <v>131</v>
      </c>
      <c r="AA209" s="32" t="s">
        <v>273</v>
      </c>
      <c r="AB209" s="34">
        <f t="shared" si="26"/>
        <v>90000</v>
      </c>
      <c r="AC209" s="33">
        <v>10000</v>
      </c>
      <c r="AE209" s="40">
        <f t="shared" si="27"/>
        <v>0.1111111111111111</v>
      </c>
      <c r="AF209" s="31">
        <v>100000</v>
      </c>
    </row>
    <row r="210" spans="2:32" x14ac:dyDescent="0.25">
      <c r="B210" s="1">
        <v>11432020</v>
      </c>
      <c r="C210" s="1" t="s">
        <v>274</v>
      </c>
      <c r="R210" s="2">
        <f t="shared" si="25"/>
        <v>0</v>
      </c>
      <c r="U210" s="41"/>
      <c r="X210" s="31" t="s">
        <v>175</v>
      </c>
      <c r="Y210" s="31" t="s">
        <v>7</v>
      </c>
      <c r="Z210" s="31" t="s">
        <v>37</v>
      </c>
      <c r="AA210" s="32" t="s">
        <v>3</v>
      </c>
      <c r="AB210" s="34">
        <f t="shared" si="26"/>
        <v>35000</v>
      </c>
      <c r="AC210" s="33">
        <v>0</v>
      </c>
      <c r="AF210" s="31">
        <v>35000</v>
      </c>
    </row>
    <row r="211" spans="2:32" x14ac:dyDescent="0.25">
      <c r="B211" s="1">
        <v>11452020</v>
      </c>
      <c r="C211" s="1" t="str">
        <f>VLOOKUP(B211,[1]BTL!$C:$K,8,FALSE)</f>
        <v>Md. Hanif Hussain Sujan</v>
      </c>
      <c r="R211" s="2">
        <f t="shared" si="25"/>
        <v>0</v>
      </c>
      <c r="U211" s="41"/>
      <c r="X211" s="31" t="s">
        <v>175</v>
      </c>
      <c r="Y211" s="31" t="s">
        <v>7</v>
      </c>
      <c r="Z211" s="31" t="s">
        <v>137</v>
      </c>
      <c r="AA211" s="32" t="s">
        <v>3</v>
      </c>
      <c r="AB211" s="34">
        <f t="shared" si="26"/>
        <v>30000</v>
      </c>
      <c r="AC211" s="33">
        <v>5000</v>
      </c>
      <c r="AE211" s="40">
        <f t="shared" si="27"/>
        <v>0.16666666666666666</v>
      </c>
      <c r="AF211" s="31">
        <v>35000</v>
      </c>
    </row>
    <row r="212" spans="2:32" x14ac:dyDescent="0.25">
      <c r="B212" s="1">
        <v>21842020</v>
      </c>
      <c r="C212" s="1" t="str">
        <f>VLOOKUP(B212,[1]KYL!$C:$K,8,FALSE)</f>
        <v>Md. Ilius Hossain</v>
      </c>
      <c r="R212" s="2">
        <f t="shared" si="25"/>
        <v>0</v>
      </c>
      <c r="U212" s="41"/>
      <c r="X212" s="31" t="s">
        <v>175</v>
      </c>
      <c r="Y212" s="31" t="s">
        <v>7</v>
      </c>
      <c r="Z212" s="31" t="s">
        <v>137</v>
      </c>
      <c r="AA212" s="32" t="s">
        <v>3</v>
      </c>
      <c r="AB212" s="34">
        <f t="shared" si="26"/>
        <v>28000</v>
      </c>
      <c r="AC212" s="33">
        <v>15000</v>
      </c>
      <c r="AE212" s="40">
        <f t="shared" si="27"/>
        <v>0.5357142857142857</v>
      </c>
      <c r="AF212" s="31">
        <v>43000</v>
      </c>
    </row>
    <row r="213" spans="2:32" x14ac:dyDescent="0.25">
      <c r="B213" s="1">
        <v>11472020</v>
      </c>
      <c r="C213" s="1" t="str">
        <f>VLOOKUP(B213,[1]BTL!$C:$K,8,FALSE)</f>
        <v>Rashed Mahmud Rasel</v>
      </c>
      <c r="R213" s="2">
        <f t="shared" si="25"/>
        <v>0</v>
      </c>
      <c r="U213" s="41"/>
      <c r="X213" s="31" t="s">
        <v>175</v>
      </c>
      <c r="Y213" s="31" t="s">
        <v>7</v>
      </c>
      <c r="Z213" s="31" t="s">
        <v>32</v>
      </c>
      <c r="AA213" s="32" t="s">
        <v>3</v>
      </c>
      <c r="AB213" s="34">
        <f t="shared" si="26"/>
        <v>22000</v>
      </c>
      <c r="AC213" s="33">
        <v>0</v>
      </c>
      <c r="AF213" s="31">
        <v>22000</v>
      </c>
    </row>
    <row r="214" spans="2:32" x14ac:dyDescent="0.25">
      <c r="B214" s="1">
        <v>21762020</v>
      </c>
      <c r="C214" s="1" t="str">
        <f>VLOOKUP(B214,[1]KYL!$C:$K,8,FALSE)</f>
        <v>Md. Areful Islam</v>
      </c>
      <c r="R214" s="2">
        <f t="shared" si="25"/>
        <v>0</v>
      </c>
      <c r="U214" s="41"/>
      <c r="X214" s="31" t="s">
        <v>175</v>
      </c>
      <c r="Y214" s="31" t="s">
        <v>7</v>
      </c>
      <c r="Z214" s="31" t="s">
        <v>146</v>
      </c>
      <c r="AA214" s="32" t="s">
        <v>4</v>
      </c>
      <c r="AB214" s="34">
        <f t="shared" si="26"/>
        <v>60000</v>
      </c>
      <c r="AC214" s="33">
        <v>0</v>
      </c>
      <c r="AF214" s="31">
        <v>60000</v>
      </c>
    </row>
    <row r="215" spans="2:32" x14ac:dyDescent="0.25">
      <c r="B215" s="1">
        <v>11412020</v>
      </c>
      <c r="C215" s="1" t="str">
        <f>VLOOKUP(B215,[1]BTL!$C:$K,8,FALSE)</f>
        <v>Md. Mohsin</v>
      </c>
      <c r="R215" s="2">
        <f t="shared" si="25"/>
        <v>0</v>
      </c>
      <c r="U215" s="41"/>
      <c r="X215" s="31" t="s">
        <v>175</v>
      </c>
      <c r="Y215" s="31" t="s">
        <v>7</v>
      </c>
      <c r="Z215" s="31" t="s">
        <v>19</v>
      </c>
      <c r="AA215" s="32" t="s">
        <v>130</v>
      </c>
      <c r="AB215" s="34">
        <f t="shared" si="26"/>
        <v>80000</v>
      </c>
      <c r="AC215" s="33">
        <v>0</v>
      </c>
      <c r="AF215" s="31">
        <v>80000</v>
      </c>
    </row>
    <row r="216" spans="2:32" x14ac:dyDescent="0.25">
      <c r="B216" s="1">
        <v>11422020</v>
      </c>
      <c r="C216" s="1" t="str">
        <f>VLOOKUP(B216,[1]BTL!$C:$K,8,FALSE)</f>
        <v>Kaushik Ahammad</v>
      </c>
      <c r="R216" s="2">
        <f t="shared" si="25"/>
        <v>0</v>
      </c>
      <c r="U216" s="41"/>
      <c r="X216" s="31" t="s">
        <v>175</v>
      </c>
      <c r="Y216" s="31" t="s">
        <v>7</v>
      </c>
      <c r="Z216" s="31" t="s">
        <v>19</v>
      </c>
      <c r="AA216" s="32" t="s">
        <v>21</v>
      </c>
      <c r="AB216" s="34">
        <f t="shared" si="26"/>
        <v>60000</v>
      </c>
      <c r="AC216" s="33">
        <v>0</v>
      </c>
      <c r="AF216" s="31">
        <v>60000</v>
      </c>
    </row>
    <row r="217" spans="2:32" x14ac:dyDescent="0.25">
      <c r="B217" s="1">
        <v>11342019</v>
      </c>
      <c r="C217" s="1" t="str">
        <f>VLOOKUP(B217,[1]BTL!$C:$K,8,FALSE)</f>
        <v>Rakibul Hasan</v>
      </c>
      <c r="R217" s="2">
        <f t="shared" si="25"/>
        <v>0</v>
      </c>
      <c r="U217" s="41"/>
      <c r="X217" s="31" t="s">
        <v>175</v>
      </c>
      <c r="Y217" s="31" t="s">
        <v>7</v>
      </c>
      <c r="Z217" s="31" t="s">
        <v>19</v>
      </c>
      <c r="AA217" s="32" t="s">
        <v>8</v>
      </c>
      <c r="AB217" s="34">
        <f t="shared" si="26"/>
        <v>15000</v>
      </c>
      <c r="AC217" s="33">
        <v>7000</v>
      </c>
      <c r="AE217" s="40">
        <f t="shared" si="27"/>
        <v>0.46666666666666667</v>
      </c>
      <c r="AF217" s="31">
        <v>22000</v>
      </c>
    </row>
    <row r="218" spans="2:32" x14ac:dyDescent="0.25">
      <c r="B218" s="1">
        <v>21752020</v>
      </c>
      <c r="C218" s="1" t="str">
        <f>VLOOKUP(B218,[1]KYL!$C:$K,8,FALSE)</f>
        <v>Md. Mafen Bhuiyan</v>
      </c>
      <c r="R218" s="2">
        <f t="shared" si="25"/>
        <v>0</v>
      </c>
      <c r="U218" s="41"/>
      <c r="X218" s="31" t="s">
        <v>175</v>
      </c>
      <c r="Y218" s="31" t="s">
        <v>7</v>
      </c>
      <c r="Z218" s="31" t="s">
        <v>19</v>
      </c>
      <c r="AA218" s="32" t="s">
        <v>8</v>
      </c>
      <c r="AB218" s="34">
        <f t="shared" si="26"/>
        <v>15000</v>
      </c>
      <c r="AC218" s="33">
        <v>5000</v>
      </c>
      <c r="AE218" s="40">
        <f t="shared" si="27"/>
        <v>0.33333333333333331</v>
      </c>
      <c r="AF218" s="31">
        <v>20000</v>
      </c>
    </row>
    <row r="219" spans="2:32" x14ac:dyDescent="0.25">
      <c r="B219" s="1">
        <v>11402020</v>
      </c>
      <c r="C219" s="1" t="str">
        <f>VLOOKUP(B219,[1]BTL!$C:$K,8,FALSE)</f>
        <v>Md. Shamim Hossain</v>
      </c>
      <c r="R219" s="2">
        <f t="shared" si="25"/>
        <v>0</v>
      </c>
      <c r="U219" s="41"/>
      <c r="X219" s="31" t="s">
        <v>175</v>
      </c>
      <c r="Y219" s="31" t="s">
        <v>7</v>
      </c>
      <c r="Z219" s="31" t="s">
        <v>19</v>
      </c>
      <c r="AA219" s="32" t="s">
        <v>5</v>
      </c>
      <c r="AB219" s="34">
        <f t="shared" si="26"/>
        <v>12000</v>
      </c>
      <c r="AC219" s="33">
        <v>8000</v>
      </c>
      <c r="AE219" s="40">
        <f t="shared" si="27"/>
        <v>0.66666666666666663</v>
      </c>
      <c r="AF219" s="31">
        <v>20000</v>
      </c>
    </row>
    <row r="220" spans="2:32" x14ac:dyDescent="0.25">
      <c r="B220" s="1">
        <v>21812020</v>
      </c>
      <c r="C220" s="1" t="str">
        <f>VLOOKUP(B220,[1]KYL!$C:$K,8,FALSE)</f>
        <v>Md. Maruf Hossain</v>
      </c>
      <c r="R220" s="2">
        <f t="shared" si="25"/>
        <v>0</v>
      </c>
      <c r="U220" s="41"/>
      <c r="X220" s="31" t="s">
        <v>175</v>
      </c>
      <c r="Y220" s="31" t="s">
        <v>7</v>
      </c>
      <c r="Z220" s="31" t="s">
        <v>19</v>
      </c>
      <c r="AA220" s="32" t="s">
        <v>6</v>
      </c>
      <c r="AB220" s="34">
        <f t="shared" si="26"/>
        <v>14000</v>
      </c>
      <c r="AC220" s="33">
        <v>6000</v>
      </c>
      <c r="AE220" s="40">
        <f t="shared" si="27"/>
        <v>0.42857142857142855</v>
      </c>
      <c r="AF220" s="31">
        <v>20000</v>
      </c>
    </row>
    <row r="221" spans="2:32" x14ac:dyDescent="0.25">
      <c r="B221" s="1">
        <v>21602019</v>
      </c>
      <c r="C221" s="1" t="str">
        <f>VLOOKUP(B221,[1]KYL!$C:$K,8,FALSE)</f>
        <v>Muhammad Habibur Rahman FCMA</v>
      </c>
      <c r="R221" s="2">
        <f t="shared" si="25"/>
        <v>0</v>
      </c>
      <c r="U221" s="41"/>
      <c r="X221" s="31" t="s">
        <v>175</v>
      </c>
      <c r="Y221" s="31" t="s">
        <v>7</v>
      </c>
      <c r="Z221" s="31" t="s">
        <v>36</v>
      </c>
      <c r="AA221" s="32" t="s">
        <v>277</v>
      </c>
      <c r="AB221" s="34">
        <f t="shared" si="26"/>
        <v>200000</v>
      </c>
      <c r="AC221" s="33">
        <v>25000</v>
      </c>
      <c r="AE221" s="40">
        <f t="shared" si="27"/>
        <v>0.125</v>
      </c>
      <c r="AF221" s="31">
        <v>225000</v>
      </c>
    </row>
    <row r="222" spans="2:32" x14ac:dyDescent="0.25">
      <c r="B222" s="1">
        <v>11442020</v>
      </c>
      <c r="C222" s="1" t="str">
        <f>VLOOKUP(B222,[1]BTL!$C:$K,8,FALSE)</f>
        <v>Kazi Atiq Ullah</v>
      </c>
      <c r="R222" s="2">
        <f t="shared" si="25"/>
        <v>0</v>
      </c>
      <c r="U222" s="41"/>
      <c r="X222" s="31" t="s">
        <v>175</v>
      </c>
      <c r="Y222" s="31" t="s">
        <v>7</v>
      </c>
      <c r="Z222" s="31" t="s">
        <v>36</v>
      </c>
      <c r="AA222" s="32" t="s">
        <v>3</v>
      </c>
      <c r="AB222" s="34">
        <f t="shared" si="26"/>
        <v>28000</v>
      </c>
      <c r="AC222" s="33">
        <v>3000</v>
      </c>
      <c r="AE222" s="40">
        <f t="shared" si="27"/>
        <v>0.10714285714285714</v>
      </c>
      <c r="AF222" s="31">
        <v>31000</v>
      </c>
    </row>
    <row r="223" spans="2:32" x14ac:dyDescent="0.25">
      <c r="B223" s="1">
        <v>21792020</v>
      </c>
      <c r="C223" s="1" t="str">
        <f>VLOOKUP(B223,[1]KYL!$C:$K,8,FALSE)</f>
        <v>Md. Shihab Kabir</v>
      </c>
      <c r="R223" s="2">
        <f t="shared" si="25"/>
        <v>0</v>
      </c>
      <c r="U223" s="41"/>
      <c r="X223" s="31" t="s">
        <v>175</v>
      </c>
      <c r="Y223" s="31" t="s">
        <v>7</v>
      </c>
      <c r="Z223" s="31" t="s">
        <v>36</v>
      </c>
      <c r="AA223" s="32" t="s">
        <v>3</v>
      </c>
      <c r="AB223" s="34">
        <f t="shared" si="26"/>
        <v>28000</v>
      </c>
      <c r="AC223" s="33">
        <v>6000</v>
      </c>
      <c r="AE223" s="40">
        <f t="shared" si="27"/>
        <v>0.21428571428571427</v>
      </c>
      <c r="AF223" s="31">
        <v>34000</v>
      </c>
    </row>
    <row r="224" spans="2:32" x14ac:dyDescent="0.25">
      <c r="B224" s="1">
        <v>21862020</v>
      </c>
      <c r="C224" s="1" t="str">
        <f>VLOOKUP(B224,[1]BTL!$C:$K,8,FALSE)</f>
        <v>Imran Hossain</v>
      </c>
      <c r="R224" s="2">
        <f t="shared" si="25"/>
        <v>0</v>
      </c>
      <c r="U224" s="41"/>
      <c r="X224" s="31" t="s">
        <v>175</v>
      </c>
      <c r="Y224" s="31" t="s">
        <v>7</v>
      </c>
      <c r="Z224" s="31" t="s">
        <v>36</v>
      </c>
      <c r="AA224" s="32" t="s">
        <v>3</v>
      </c>
      <c r="AB224" s="34">
        <f t="shared" si="26"/>
        <v>28000</v>
      </c>
      <c r="AC224" s="33">
        <v>5000</v>
      </c>
      <c r="AE224" s="40">
        <f t="shared" si="27"/>
        <v>0.17857142857142858</v>
      </c>
      <c r="AF224" s="31">
        <v>33000</v>
      </c>
    </row>
    <row r="225" spans="2:33" x14ac:dyDescent="0.25">
      <c r="B225" s="1">
        <v>11382020</v>
      </c>
      <c r="C225" s="1" t="str">
        <f>VLOOKUP(B225,[1]BTL!$C:$K,8,FALSE)</f>
        <v>Muhammad Al-Amin</v>
      </c>
      <c r="R225" s="2">
        <f t="shared" si="25"/>
        <v>0</v>
      </c>
      <c r="U225" s="41"/>
      <c r="X225" s="31" t="s">
        <v>175</v>
      </c>
      <c r="Y225" s="31" t="s">
        <v>7</v>
      </c>
      <c r="Z225" s="31" t="s">
        <v>36</v>
      </c>
      <c r="AA225" s="32" t="s">
        <v>3</v>
      </c>
      <c r="AB225" s="34">
        <f t="shared" si="26"/>
        <v>22000</v>
      </c>
      <c r="AC225" s="33">
        <v>5000</v>
      </c>
      <c r="AE225" s="40">
        <f t="shared" si="27"/>
        <v>0.22727272727272727</v>
      </c>
      <c r="AF225" s="31">
        <v>27000</v>
      </c>
    </row>
    <row r="226" spans="2:33" x14ac:dyDescent="0.25">
      <c r="B226" s="1">
        <v>21692019</v>
      </c>
      <c r="C226" s="1" t="str">
        <f>VLOOKUP(B226,[1]KYL!$C:$K,8,FALSE)</f>
        <v>Ruhul Amin</v>
      </c>
      <c r="R226" s="2">
        <f t="shared" si="25"/>
        <v>0</v>
      </c>
      <c r="U226" s="41"/>
      <c r="X226" s="31" t="s">
        <v>175</v>
      </c>
      <c r="Y226" s="31" t="s">
        <v>7</v>
      </c>
      <c r="Z226" s="31" t="s">
        <v>36</v>
      </c>
      <c r="AA226" s="32" t="s">
        <v>27</v>
      </c>
      <c r="AB226" s="34">
        <f t="shared" si="26"/>
        <v>11000</v>
      </c>
      <c r="AC226" s="33">
        <v>5000</v>
      </c>
      <c r="AE226" s="40">
        <f t="shared" si="27"/>
        <v>0.45454545454545453</v>
      </c>
      <c r="AF226" s="31">
        <v>16000</v>
      </c>
    </row>
    <row r="227" spans="2:33" x14ac:dyDescent="0.25">
      <c r="B227" s="1">
        <v>11352020</v>
      </c>
      <c r="C227" s="1" t="s">
        <v>158</v>
      </c>
      <c r="R227" s="2">
        <f t="shared" si="25"/>
        <v>0</v>
      </c>
      <c r="U227" s="41"/>
      <c r="X227" s="31" t="s">
        <v>175</v>
      </c>
      <c r="Y227" s="31" t="s">
        <v>7</v>
      </c>
      <c r="Z227" s="31" t="s">
        <v>20</v>
      </c>
      <c r="AA227" s="32" t="s">
        <v>130</v>
      </c>
      <c r="AB227" s="34">
        <f t="shared" si="26"/>
        <v>50000</v>
      </c>
      <c r="AC227" s="33">
        <v>0</v>
      </c>
      <c r="AE227" s="40">
        <f t="shared" si="27"/>
        <v>0</v>
      </c>
      <c r="AF227" s="31">
        <v>50000</v>
      </c>
      <c r="AG227" s="32" t="s">
        <v>278</v>
      </c>
    </row>
    <row r="228" spans="2:33" x14ac:dyDescent="0.25">
      <c r="B228" s="1">
        <v>21712019</v>
      </c>
      <c r="C228" s="1" t="str">
        <f>VLOOKUP(B228,[1]KYL!$C:$K,8,FALSE)</f>
        <v>Md. Shahjahan Mia</v>
      </c>
      <c r="R228" s="2">
        <f t="shared" si="25"/>
        <v>0</v>
      </c>
      <c r="U228" s="41"/>
      <c r="X228" s="31" t="s">
        <v>175</v>
      </c>
      <c r="Y228" s="31" t="s">
        <v>7</v>
      </c>
      <c r="Z228" s="31" t="s">
        <v>20</v>
      </c>
      <c r="AA228" s="32" t="s">
        <v>279</v>
      </c>
      <c r="AB228" s="34">
        <f t="shared" si="26"/>
        <v>30000</v>
      </c>
      <c r="AC228" s="33">
        <v>2000</v>
      </c>
      <c r="AE228" s="40">
        <f t="shared" si="27"/>
        <v>6.6666666666666666E-2</v>
      </c>
      <c r="AF228" s="31">
        <v>32000</v>
      </c>
    </row>
    <row r="229" spans="2:33" x14ac:dyDescent="0.25">
      <c r="B229" s="1">
        <v>11482020</v>
      </c>
      <c r="C229" s="1" t="str">
        <f>VLOOKUP(B229,[1]BTL!$C:$K,8,FALSE)</f>
        <v>Dewan Md. Liaqat Ali</v>
      </c>
      <c r="R229" s="2">
        <f t="shared" si="25"/>
        <v>0</v>
      </c>
      <c r="U229" s="41"/>
      <c r="X229" s="31" t="s">
        <v>175</v>
      </c>
      <c r="Y229" s="31" t="s">
        <v>7</v>
      </c>
      <c r="Z229" s="31" t="s">
        <v>20</v>
      </c>
      <c r="AA229" s="32" t="s">
        <v>280</v>
      </c>
      <c r="AB229" s="34">
        <f t="shared" si="26"/>
        <v>150000</v>
      </c>
      <c r="AC229" s="33">
        <v>0</v>
      </c>
      <c r="AF229" s="31">
        <v>150000</v>
      </c>
    </row>
    <row r="230" spans="2:33" x14ac:dyDescent="0.25">
      <c r="B230" s="1">
        <v>21852020</v>
      </c>
      <c r="C230" s="1" t="str">
        <f>VLOOKUP(B230,[1]KYL!$C:$K,8,FALSE)</f>
        <v>S. M. Arif Ahmed</v>
      </c>
      <c r="R230" s="2">
        <f t="shared" si="25"/>
        <v>0</v>
      </c>
      <c r="U230" s="41"/>
      <c r="X230" s="31" t="s">
        <v>175</v>
      </c>
      <c r="Y230" s="31" t="s">
        <v>7</v>
      </c>
      <c r="Z230" s="31" t="s">
        <v>20</v>
      </c>
      <c r="AA230" s="32" t="s">
        <v>130</v>
      </c>
      <c r="AB230" s="34">
        <f t="shared" si="26"/>
        <v>50000</v>
      </c>
      <c r="AC230" s="33">
        <v>0</v>
      </c>
      <c r="AF230" s="31">
        <v>50000</v>
      </c>
    </row>
    <row r="231" spans="2:33" x14ac:dyDescent="0.25">
      <c r="B231" s="1">
        <v>11462020</v>
      </c>
      <c r="C231" s="1" t="str">
        <f>VLOOKUP(B231,[1]BTL!$C:$K,8,FALSE)</f>
        <v>Md. Tuffazzal Hussain</v>
      </c>
      <c r="R231" s="2">
        <f t="shared" si="25"/>
        <v>0</v>
      </c>
      <c r="U231" s="41"/>
      <c r="X231" s="31" t="s">
        <v>175</v>
      </c>
      <c r="Y231" s="31" t="s">
        <v>7</v>
      </c>
      <c r="Z231" s="31" t="s">
        <v>281</v>
      </c>
      <c r="AA231" s="32" t="s">
        <v>21</v>
      </c>
      <c r="AB231" s="34">
        <f t="shared" si="26"/>
        <v>50000</v>
      </c>
      <c r="AC231" s="33">
        <v>0</v>
      </c>
      <c r="AF231" s="31">
        <v>50000</v>
      </c>
    </row>
    <row r="232" spans="2:33" x14ac:dyDescent="0.25">
      <c r="B232" s="1">
        <v>21662019</v>
      </c>
      <c r="C232" s="1" t="str">
        <f>VLOOKUP(B232,[1]KYL!$C:$K,8,FALSE)</f>
        <v>Md. Sakawat Hossain Apon</v>
      </c>
      <c r="R232" s="2">
        <f t="shared" si="25"/>
        <v>0</v>
      </c>
      <c r="U232" s="41"/>
      <c r="X232" s="31" t="s">
        <v>175</v>
      </c>
      <c r="Y232" s="31" t="s">
        <v>7</v>
      </c>
      <c r="Z232" s="31" t="s">
        <v>20</v>
      </c>
      <c r="AA232" s="32" t="s">
        <v>28</v>
      </c>
      <c r="AB232" s="34">
        <f t="shared" si="26"/>
        <v>11000</v>
      </c>
      <c r="AC232" s="33">
        <v>2000</v>
      </c>
      <c r="AE232" s="40">
        <f t="shared" si="27"/>
        <v>0.18181818181818182</v>
      </c>
      <c r="AF232" s="31">
        <v>13000</v>
      </c>
    </row>
    <row r="233" spans="2:33" x14ac:dyDescent="0.25">
      <c r="B233" s="1">
        <v>21702019</v>
      </c>
      <c r="C233" s="1" t="str">
        <f>VLOOKUP(B233,[1]KYL!$C:$K,8,FALSE)</f>
        <v>Md. Riad Hossain</v>
      </c>
      <c r="R233" s="2">
        <f t="shared" si="25"/>
        <v>0</v>
      </c>
      <c r="U233" s="41"/>
      <c r="X233" s="31" t="s">
        <v>175</v>
      </c>
      <c r="Y233" s="31" t="s">
        <v>7</v>
      </c>
      <c r="Z233" s="31" t="s">
        <v>20</v>
      </c>
      <c r="AA233" s="32" t="s">
        <v>28</v>
      </c>
      <c r="AB233" s="34">
        <f t="shared" si="26"/>
        <v>10000</v>
      </c>
      <c r="AC233" s="33">
        <v>2000</v>
      </c>
      <c r="AE233" s="40">
        <f t="shared" si="27"/>
        <v>0.2</v>
      </c>
      <c r="AF233" s="31">
        <v>12000</v>
      </c>
    </row>
    <row r="234" spans="2:33" x14ac:dyDescent="0.25">
      <c r="B234" s="1">
        <v>30482016</v>
      </c>
      <c r="C234" s="1" t="str">
        <f>VLOOKUP(B234,[1]KYL!$C:$K,8,FALSE)</f>
        <v>Md. Mohin</v>
      </c>
      <c r="N234" s="2" t="s">
        <v>175</v>
      </c>
      <c r="O234" s="2" t="s">
        <v>284</v>
      </c>
      <c r="P234" s="2" t="s">
        <v>282</v>
      </c>
      <c r="Q234" s="2" t="s">
        <v>283</v>
      </c>
      <c r="R234" s="2">
        <f t="shared" si="25"/>
        <v>21000</v>
      </c>
      <c r="S234" s="3">
        <v>2000</v>
      </c>
      <c r="U234" s="41">
        <f t="shared" ref="U234:U245" si="28">S234/R234</f>
        <v>9.5238095238095233E-2</v>
      </c>
      <c r="V234" s="2">
        <v>23000</v>
      </c>
      <c r="X234" s="31" t="s">
        <v>175</v>
      </c>
      <c r="Y234" s="31" t="s">
        <v>7</v>
      </c>
      <c r="Z234" s="31" t="s">
        <v>282</v>
      </c>
      <c r="AA234" s="32" t="s">
        <v>283</v>
      </c>
      <c r="AB234" s="34">
        <f t="shared" si="26"/>
        <v>23000</v>
      </c>
      <c r="AC234" s="33">
        <v>2000</v>
      </c>
      <c r="AE234" s="40">
        <f t="shared" si="27"/>
        <v>8.6956521739130432E-2</v>
      </c>
      <c r="AF234" s="31">
        <v>25000</v>
      </c>
    </row>
    <row r="235" spans="2:33" x14ac:dyDescent="0.25">
      <c r="B235" s="1">
        <v>21492019</v>
      </c>
      <c r="C235" s="1" t="str">
        <f>VLOOKUP(B235,[1]KYL!$C:$K,8,FALSE)</f>
        <v xml:space="preserve">Imam Hossain </v>
      </c>
      <c r="R235" s="2">
        <f t="shared" si="25"/>
        <v>0</v>
      </c>
      <c r="U235" s="41"/>
      <c r="X235" s="31" t="s">
        <v>175</v>
      </c>
      <c r="Y235" s="31" t="s">
        <v>7</v>
      </c>
      <c r="Z235" s="31" t="s">
        <v>20</v>
      </c>
      <c r="AA235" s="32" t="s">
        <v>207</v>
      </c>
      <c r="AB235" s="34">
        <f t="shared" si="26"/>
        <v>10000</v>
      </c>
      <c r="AC235" s="33">
        <v>2000</v>
      </c>
      <c r="AE235" s="40">
        <f t="shared" si="27"/>
        <v>0.2</v>
      </c>
      <c r="AF235" s="31">
        <v>12000</v>
      </c>
    </row>
    <row r="236" spans="2:33" x14ac:dyDescent="0.25">
      <c r="B236" s="1">
        <v>21592019</v>
      </c>
      <c r="C236" s="1" t="str">
        <f>VLOOKUP(B236,[1]KYL!$C:$K,8,FALSE)</f>
        <v>Md. Sohag Hossain</v>
      </c>
      <c r="R236" s="2">
        <f t="shared" si="25"/>
        <v>0</v>
      </c>
      <c r="U236" s="41"/>
      <c r="X236" s="31" t="s">
        <v>175</v>
      </c>
      <c r="Y236" s="31" t="s">
        <v>7</v>
      </c>
      <c r="Z236" s="31" t="s">
        <v>20</v>
      </c>
      <c r="AA236" s="32" t="s">
        <v>207</v>
      </c>
      <c r="AB236" s="34">
        <f t="shared" si="26"/>
        <v>8000</v>
      </c>
      <c r="AC236" s="33">
        <v>3000</v>
      </c>
      <c r="AE236" s="40">
        <f t="shared" si="27"/>
        <v>0.375</v>
      </c>
      <c r="AF236" s="31">
        <v>11000</v>
      </c>
    </row>
    <row r="237" spans="2:33" x14ac:dyDescent="0.25">
      <c r="B237" s="1">
        <v>21652019</v>
      </c>
      <c r="C237" s="1" t="str">
        <f>VLOOKUP(B237,[1]KYL!$C:$K,8,FALSE)</f>
        <v>Md. Mostafa Kamal</v>
      </c>
      <c r="R237" s="2">
        <f t="shared" si="25"/>
        <v>0</v>
      </c>
      <c r="U237" s="41"/>
      <c r="X237" s="31" t="s">
        <v>175</v>
      </c>
      <c r="Y237" s="31" t="s">
        <v>7</v>
      </c>
      <c r="Z237" s="31" t="s">
        <v>20</v>
      </c>
      <c r="AA237" s="32" t="s">
        <v>207</v>
      </c>
      <c r="AB237" s="34">
        <f t="shared" si="26"/>
        <v>9000</v>
      </c>
      <c r="AC237" s="33">
        <v>2000</v>
      </c>
      <c r="AE237" s="40">
        <f t="shared" si="27"/>
        <v>0.22222222222222221</v>
      </c>
      <c r="AF237" s="31">
        <v>11000</v>
      </c>
    </row>
    <row r="238" spans="2:33" x14ac:dyDescent="0.25">
      <c r="B238" s="1">
        <v>21672019</v>
      </c>
      <c r="C238" s="1" t="str">
        <f>VLOOKUP(B238,[1]KYL!$C:$K,8,FALSE)</f>
        <v>Md. Salim Miha</v>
      </c>
      <c r="R238" s="2">
        <f t="shared" si="25"/>
        <v>0</v>
      </c>
      <c r="U238" s="41"/>
      <c r="X238" s="31" t="s">
        <v>175</v>
      </c>
      <c r="Y238" s="31" t="s">
        <v>7</v>
      </c>
      <c r="Z238" s="31" t="s">
        <v>20</v>
      </c>
      <c r="AA238" s="32" t="s">
        <v>207</v>
      </c>
      <c r="AB238" s="34">
        <f t="shared" si="26"/>
        <v>9000</v>
      </c>
      <c r="AC238" s="33">
        <v>2000</v>
      </c>
      <c r="AE238" s="40">
        <f t="shared" si="27"/>
        <v>0.22222222222222221</v>
      </c>
      <c r="AF238" s="31">
        <v>11000</v>
      </c>
    </row>
    <row r="239" spans="2:33" x14ac:dyDescent="0.25">
      <c r="B239" s="1">
        <v>21642019</v>
      </c>
      <c r="C239" s="1" t="str">
        <f>VLOOKUP(B239,[1]KYL!$C:$K,8,FALSE)</f>
        <v>Sabuj (Md. Saiful)</v>
      </c>
      <c r="N239" s="2" t="s">
        <v>175</v>
      </c>
      <c r="O239" s="2" t="s">
        <v>7</v>
      </c>
      <c r="P239" s="2" t="s">
        <v>211</v>
      </c>
      <c r="Q239" s="2" t="s">
        <v>212</v>
      </c>
      <c r="R239" s="2">
        <f t="shared" si="25"/>
        <v>18000</v>
      </c>
      <c r="S239" s="3">
        <v>1000</v>
      </c>
      <c r="U239" s="41">
        <f t="shared" si="28"/>
        <v>5.5555555555555552E-2</v>
      </c>
      <c r="V239" s="2">
        <v>19000</v>
      </c>
      <c r="W239" s="2" t="s">
        <v>285</v>
      </c>
      <c r="X239" s="31" t="s">
        <v>175</v>
      </c>
      <c r="Y239" s="31" t="s">
        <v>7</v>
      </c>
      <c r="Z239" s="31" t="s">
        <v>211</v>
      </c>
      <c r="AA239" s="32" t="s">
        <v>212</v>
      </c>
      <c r="AB239" s="34">
        <f t="shared" si="26"/>
        <v>19000</v>
      </c>
      <c r="AC239" s="33">
        <v>1000</v>
      </c>
      <c r="AE239" s="40">
        <f t="shared" si="27"/>
        <v>5.2631578947368418E-2</v>
      </c>
      <c r="AF239" s="31">
        <f>V239+AC239</f>
        <v>20000</v>
      </c>
      <c r="AG239" s="32" t="s">
        <v>285</v>
      </c>
    </row>
    <row r="240" spans="2:33" x14ac:dyDescent="0.25">
      <c r="B240" s="1">
        <v>21562019</v>
      </c>
      <c r="C240" s="1" t="str">
        <f>VLOOKUP(B240,[1]KYL!$C:$K,8,FALSE)</f>
        <v>Md. Imran Hossain</v>
      </c>
      <c r="N240" s="2" t="s">
        <v>175</v>
      </c>
      <c r="O240" s="2" t="s">
        <v>7</v>
      </c>
      <c r="P240" s="2" t="s">
        <v>211</v>
      </c>
      <c r="Q240" s="2" t="s">
        <v>212</v>
      </c>
      <c r="R240" s="2">
        <f t="shared" si="25"/>
        <v>18000</v>
      </c>
      <c r="S240" s="3">
        <v>1000</v>
      </c>
      <c r="U240" s="41">
        <f t="shared" si="28"/>
        <v>5.5555555555555552E-2</v>
      </c>
      <c r="V240" s="2">
        <v>19000</v>
      </c>
      <c r="W240" s="2" t="s">
        <v>285</v>
      </c>
      <c r="X240" s="31" t="s">
        <v>175</v>
      </c>
      <c r="Y240" s="31" t="s">
        <v>7</v>
      </c>
      <c r="Z240" s="31" t="s">
        <v>211</v>
      </c>
      <c r="AA240" s="32" t="s">
        <v>212</v>
      </c>
      <c r="AB240" s="34">
        <f t="shared" si="26"/>
        <v>19000</v>
      </c>
      <c r="AC240" s="33">
        <v>1000</v>
      </c>
      <c r="AE240" s="40">
        <f t="shared" si="27"/>
        <v>5.2631578947368418E-2</v>
      </c>
      <c r="AF240" s="31">
        <f>V240+AC240</f>
        <v>20000</v>
      </c>
      <c r="AG240" s="32" t="s">
        <v>285</v>
      </c>
    </row>
    <row r="241" spans="2:33" x14ac:dyDescent="0.25">
      <c r="B241" s="1">
        <v>21622019</v>
      </c>
      <c r="C241" s="1" t="str">
        <f>VLOOKUP(B241,[1]KYL!$C:$K,8,FALSE)</f>
        <v>Abdul Rahim</v>
      </c>
      <c r="N241" s="2" t="s">
        <v>175</v>
      </c>
      <c r="O241" s="2" t="s">
        <v>7</v>
      </c>
      <c r="P241" s="2" t="s">
        <v>211</v>
      </c>
      <c r="Q241" s="2" t="s">
        <v>212</v>
      </c>
      <c r="R241" s="2">
        <f t="shared" si="25"/>
        <v>18000</v>
      </c>
      <c r="S241" s="3">
        <v>1000</v>
      </c>
      <c r="U241" s="41">
        <f t="shared" si="28"/>
        <v>5.5555555555555552E-2</v>
      </c>
      <c r="V241" s="2">
        <v>19000</v>
      </c>
      <c r="W241" s="2" t="s">
        <v>285</v>
      </c>
      <c r="X241" s="31" t="s">
        <v>175</v>
      </c>
      <c r="Y241" s="31" t="s">
        <v>7</v>
      </c>
      <c r="Z241" s="31" t="s">
        <v>211</v>
      </c>
      <c r="AA241" s="32" t="s">
        <v>212</v>
      </c>
      <c r="AB241" s="34">
        <f t="shared" si="26"/>
        <v>19000</v>
      </c>
      <c r="AC241" s="33">
        <v>1000</v>
      </c>
      <c r="AE241" s="40">
        <f t="shared" si="27"/>
        <v>5.2631578947368418E-2</v>
      </c>
      <c r="AF241" s="31">
        <f>V241+AC241</f>
        <v>20000</v>
      </c>
      <c r="AG241" s="32" t="s">
        <v>285</v>
      </c>
    </row>
    <row r="242" spans="2:33" x14ac:dyDescent="0.25">
      <c r="B242" s="1">
        <v>21632019</v>
      </c>
      <c r="C242" s="1" t="str">
        <f>VLOOKUP(B242,[1]KYL!$C:$K,8,FALSE)</f>
        <v>Md. Zillur Rahman</v>
      </c>
      <c r="N242" s="2" t="s">
        <v>175</v>
      </c>
      <c r="O242" s="2" t="s">
        <v>7</v>
      </c>
      <c r="P242" s="2" t="s">
        <v>211</v>
      </c>
      <c r="Q242" s="2" t="s">
        <v>212</v>
      </c>
      <c r="R242" s="2">
        <f t="shared" si="25"/>
        <v>18000</v>
      </c>
      <c r="S242" s="3">
        <v>1000</v>
      </c>
      <c r="U242" s="41">
        <f t="shared" si="28"/>
        <v>5.5555555555555552E-2</v>
      </c>
      <c r="V242" s="2">
        <v>19000</v>
      </c>
      <c r="W242" s="2" t="s">
        <v>285</v>
      </c>
      <c r="X242" s="31" t="s">
        <v>175</v>
      </c>
      <c r="Y242" s="31" t="s">
        <v>7</v>
      </c>
      <c r="Z242" s="31" t="s">
        <v>211</v>
      </c>
      <c r="AA242" s="32" t="s">
        <v>212</v>
      </c>
      <c r="AB242" s="34">
        <f t="shared" si="26"/>
        <v>19000</v>
      </c>
      <c r="AC242" s="33">
        <v>1000</v>
      </c>
      <c r="AE242" s="40">
        <f t="shared" si="27"/>
        <v>5.2631578947368418E-2</v>
      </c>
      <c r="AF242" s="31">
        <f>V242+AC242</f>
        <v>20000</v>
      </c>
      <c r="AG242" s="32" t="s">
        <v>285</v>
      </c>
    </row>
    <row r="243" spans="2:33" x14ac:dyDescent="0.25">
      <c r="B243" s="1">
        <v>21682019</v>
      </c>
      <c r="C243" s="1" t="str">
        <f>VLOOKUP(B243,[1]KYL!$C:$K,8,FALSE)</f>
        <v>Md Shafiqul Islam</v>
      </c>
      <c r="N243" s="2" t="s">
        <v>175</v>
      </c>
      <c r="O243" s="2" t="s">
        <v>7</v>
      </c>
      <c r="P243" s="2" t="s">
        <v>211</v>
      </c>
      <c r="Q243" s="2" t="s">
        <v>212</v>
      </c>
      <c r="R243" s="2">
        <f t="shared" si="25"/>
        <v>18000</v>
      </c>
      <c r="S243" s="3">
        <v>1000</v>
      </c>
      <c r="U243" s="41">
        <f t="shared" si="28"/>
        <v>5.5555555555555552E-2</v>
      </c>
      <c r="V243" s="2">
        <v>19000</v>
      </c>
      <c r="W243" s="2" t="s">
        <v>285</v>
      </c>
      <c r="X243" s="31" t="s">
        <v>175</v>
      </c>
      <c r="Y243" s="31" t="s">
        <v>7</v>
      </c>
      <c r="Z243" s="31" t="s">
        <v>211</v>
      </c>
      <c r="AA243" s="32" t="s">
        <v>212</v>
      </c>
      <c r="AB243" s="34">
        <f t="shared" si="26"/>
        <v>19000</v>
      </c>
      <c r="AC243" s="33">
        <v>1000</v>
      </c>
      <c r="AE243" s="40">
        <f t="shared" si="27"/>
        <v>5.2631578947368418E-2</v>
      </c>
      <c r="AF243" s="31">
        <f>V243+AC243</f>
        <v>20000</v>
      </c>
      <c r="AG243" s="32" t="s">
        <v>285</v>
      </c>
    </row>
    <row r="244" spans="2:33" x14ac:dyDescent="0.25">
      <c r="B244" s="1">
        <v>21862021</v>
      </c>
      <c r="C244" s="1" t="s">
        <v>286</v>
      </c>
      <c r="R244" s="2">
        <f t="shared" si="25"/>
        <v>0</v>
      </c>
      <c r="U244" s="41"/>
      <c r="X244" s="31" t="s">
        <v>175</v>
      </c>
      <c r="Y244" s="31" t="s">
        <v>7</v>
      </c>
      <c r="Z244" s="31" t="s">
        <v>211</v>
      </c>
      <c r="AA244" s="32" t="s">
        <v>212</v>
      </c>
      <c r="AB244" s="34">
        <f t="shared" si="26"/>
        <v>19000</v>
      </c>
      <c r="AC244" s="33">
        <v>1000</v>
      </c>
      <c r="AE244" s="40">
        <f t="shared" si="27"/>
        <v>5.2631578947368418E-2</v>
      </c>
      <c r="AF244" s="31">
        <v>20000</v>
      </c>
      <c r="AG244" s="32" t="s">
        <v>285</v>
      </c>
    </row>
    <row r="245" spans="2:33" x14ac:dyDescent="0.25">
      <c r="B245" s="1">
        <v>21532019</v>
      </c>
      <c r="C245" s="1" t="str">
        <f>VLOOKUP(B245,[1]KYL!$C:$K,8,FALSE)</f>
        <v>Zafor Ahammad</v>
      </c>
      <c r="N245" s="2" t="s">
        <v>175</v>
      </c>
      <c r="O245" s="2" t="s">
        <v>7</v>
      </c>
      <c r="P245" s="2" t="s">
        <v>211</v>
      </c>
      <c r="Q245" s="2" t="s">
        <v>212</v>
      </c>
      <c r="R245" s="2">
        <f t="shared" si="25"/>
        <v>17000</v>
      </c>
      <c r="S245" s="3">
        <v>1000</v>
      </c>
      <c r="U245" s="41">
        <f t="shared" si="28"/>
        <v>5.8823529411764705E-2</v>
      </c>
      <c r="V245" s="2">
        <v>18000</v>
      </c>
      <c r="W245" s="2" t="s">
        <v>287</v>
      </c>
      <c r="X245" s="31" t="s">
        <v>175</v>
      </c>
      <c r="Y245" s="31" t="s">
        <v>7</v>
      </c>
      <c r="Z245" s="31" t="s">
        <v>211</v>
      </c>
      <c r="AA245" s="32" t="s">
        <v>212</v>
      </c>
      <c r="AB245" s="34">
        <f t="shared" si="26"/>
        <v>18000</v>
      </c>
      <c r="AC245" s="33">
        <v>2000</v>
      </c>
      <c r="AE245" s="40">
        <f t="shared" si="27"/>
        <v>0.1111111111111111</v>
      </c>
      <c r="AF245" s="31">
        <f>V245+AC245</f>
        <v>20000</v>
      </c>
      <c r="AG245" s="32" t="s">
        <v>285</v>
      </c>
    </row>
    <row r="246" spans="2:33" x14ac:dyDescent="0.25">
      <c r="B246" s="1">
        <v>21832020</v>
      </c>
      <c r="C246" s="1" t="str">
        <f>VLOOKUP(B246,[1]KYL!$C:$K,8,FALSE)</f>
        <v>Md. Suzad Shek</v>
      </c>
      <c r="R246" s="2">
        <f t="shared" si="25"/>
        <v>0</v>
      </c>
      <c r="X246" s="31" t="s">
        <v>175</v>
      </c>
      <c r="Y246" s="31" t="s">
        <v>7</v>
      </c>
      <c r="Z246" s="31" t="s">
        <v>211</v>
      </c>
      <c r="AA246" s="32" t="s">
        <v>212</v>
      </c>
      <c r="AB246" s="34">
        <f t="shared" si="26"/>
        <v>18000</v>
      </c>
      <c r="AC246" s="33">
        <v>2000</v>
      </c>
      <c r="AE246" s="40">
        <f t="shared" si="27"/>
        <v>0.1111111111111111</v>
      </c>
      <c r="AF246" s="31">
        <v>20000</v>
      </c>
      <c r="AG246" s="32" t="s">
        <v>285</v>
      </c>
    </row>
    <row r="247" spans="2:33" x14ac:dyDescent="0.25">
      <c r="B247" s="1">
        <v>21782020</v>
      </c>
      <c r="C247" s="1" t="str">
        <f>VLOOKUP(B247,[1]KYL!$C:$K,8,FALSE)</f>
        <v>Md. Bozlur Rahman</v>
      </c>
      <c r="R247" s="2">
        <f t="shared" si="25"/>
        <v>0</v>
      </c>
      <c r="X247" s="31" t="s">
        <v>175</v>
      </c>
      <c r="Y247" s="31" t="s">
        <v>7</v>
      </c>
      <c r="Z247" s="31" t="s">
        <v>211</v>
      </c>
      <c r="AA247" s="32" t="s">
        <v>212</v>
      </c>
      <c r="AB247" s="34">
        <f t="shared" si="26"/>
        <v>18000</v>
      </c>
      <c r="AC247" s="33">
        <v>1000</v>
      </c>
      <c r="AE247" s="40">
        <f t="shared" si="27"/>
        <v>5.5555555555555552E-2</v>
      </c>
      <c r="AF247" s="31">
        <v>19000</v>
      </c>
      <c r="AG247" s="32" t="s">
        <v>287</v>
      </c>
    </row>
    <row r="248" spans="2:33" x14ac:dyDescent="0.25">
      <c r="B248" s="1">
        <v>21732020</v>
      </c>
      <c r="C248" s="1" t="str">
        <f>VLOOKUP(B248,[1]KYL!$C:$K,8,FALSE)</f>
        <v>Md. Mainuddin</v>
      </c>
      <c r="N248" s="2" t="s">
        <v>175</v>
      </c>
      <c r="O248" s="2" t="s">
        <v>7</v>
      </c>
      <c r="P248" s="2" t="s">
        <v>211</v>
      </c>
      <c r="Q248" s="2" t="s">
        <v>212</v>
      </c>
      <c r="R248" s="2">
        <f t="shared" si="25"/>
        <v>17000</v>
      </c>
      <c r="S248" s="3">
        <v>0</v>
      </c>
      <c r="V248" s="2">
        <v>17000</v>
      </c>
      <c r="W248" s="2" t="s">
        <v>288</v>
      </c>
      <c r="X248" s="31" t="s">
        <v>175</v>
      </c>
      <c r="Y248" s="31" t="s">
        <v>7</v>
      </c>
      <c r="Z248" s="31" t="s">
        <v>211</v>
      </c>
      <c r="AA248" s="32" t="s">
        <v>212</v>
      </c>
      <c r="AB248" s="34">
        <f t="shared" si="26"/>
        <v>17000</v>
      </c>
      <c r="AC248" s="33">
        <v>2000</v>
      </c>
      <c r="AE248" s="40">
        <f t="shared" si="27"/>
        <v>0.11764705882352941</v>
      </c>
      <c r="AF248" s="31">
        <v>19000</v>
      </c>
      <c r="AG248" s="32" t="s">
        <v>287</v>
      </c>
    </row>
    <row r="249" spans="2:33" x14ac:dyDescent="0.25">
      <c r="C249" s="1" t="e">
        <f>VLOOKUP(B249,[1]KYL!$C:$K,8,FALSE)</f>
        <v>#N/A</v>
      </c>
    </row>
    <row r="250" spans="2:33" x14ac:dyDescent="0.25">
      <c r="C250" s="1" t="e">
        <f>VLOOKUP(B250,[1]KYL!$C:$K,8,FALSE)</f>
        <v>#N/A</v>
      </c>
    </row>
  </sheetData>
  <conditionalFormatting sqref="B1:B1048576">
    <cfRule type="duplicateValues" dxfId="16" priority="5"/>
  </conditionalFormatting>
  <conditionalFormatting sqref="X1:X1048576">
    <cfRule type="containsText" dxfId="15" priority="1" operator="containsText" text="Inactive">
      <formula>NOT(ISERROR(SEARCH("Inactive",X1)))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C0F0-F7D6-45ED-A041-17C010CB9C3B}">
  <dimension ref="A1:D19"/>
  <sheetViews>
    <sheetView workbookViewId="0">
      <selection activeCell="B5" sqref="B5"/>
    </sheetView>
  </sheetViews>
  <sheetFormatPr defaultRowHeight="14.5" x14ac:dyDescent="0.35"/>
  <cols>
    <col min="1" max="1" width="21.54296875" bestFit="1" customWidth="1"/>
    <col min="2" max="2" width="22.08984375" bestFit="1" customWidth="1"/>
    <col min="3" max="3" width="13.81640625" bestFit="1" customWidth="1"/>
    <col min="4" max="4" width="15.1796875" bestFit="1" customWidth="1"/>
  </cols>
  <sheetData>
    <row r="1" spans="1:4" x14ac:dyDescent="0.35">
      <c r="A1" s="37" t="s">
        <v>250</v>
      </c>
      <c r="B1" t="s">
        <v>201</v>
      </c>
    </row>
    <row r="2" spans="1:4" x14ac:dyDescent="0.35">
      <c r="A2" s="37" t="s">
        <v>251</v>
      </c>
      <c r="B2" t="s">
        <v>20</v>
      </c>
    </row>
    <row r="4" spans="1:4" x14ac:dyDescent="0.35">
      <c r="A4" s="37" t="s">
        <v>291</v>
      </c>
      <c r="B4" t="s">
        <v>385</v>
      </c>
      <c r="C4" t="s">
        <v>386</v>
      </c>
      <c r="D4" t="s">
        <v>387</v>
      </c>
    </row>
    <row r="5" spans="1:4" x14ac:dyDescent="0.35">
      <c r="A5" s="38" t="s">
        <v>314</v>
      </c>
      <c r="B5" s="36">
        <v>5000</v>
      </c>
      <c r="C5" s="68">
        <v>0.37154989384288756</v>
      </c>
      <c r="D5" s="36">
        <v>17000</v>
      </c>
    </row>
    <row r="6" spans="1:4" x14ac:dyDescent="0.35">
      <c r="A6" s="83" t="s">
        <v>27</v>
      </c>
      <c r="B6" s="36">
        <v>5000</v>
      </c>
      <c r="C6" s="68">
        <v>0.37154989384288756</v>
      </c>
      <c r="D6" s="36">
        <v>17000</v>
      </c>
    </row>
    <row r="7" spans="1:4" x14ac:dyDescent="0.35">
      <c r="A7" s="38" t="s">
        <v>302</v>
      </c>
      <c r="B7" s="36">
        <v>2000</v>
      </c>
      <c r="C7" s="68">
        <v>0.11889596602972401</v>
      </c>
      <c r="D7" s="36">
        <v>17000</v>
      </c>
    </row>
    <row r="8" spans="1:4" x14ac:dyDescent="0.35">
      <c r="A8" s="83" t="s">
        <v>29</v>
      </c>
      <c r="B8" s="36">
        <v>2000</v>
      </c>
      <c r="C8" s="68">
        <v>0.11889596602972401</v>
      </c>
      <c r="D8" s="36">
        <v>17000</v>
      </c>
    </row>
    <row r="9" spans="1:4" x14ac:dyDescent="0.35">
      <c r="A9" s="38" t="s">
        <v>110</v>
      </c>
      <c r="B9" s="36">
        <v>2000</v>
      </c>
      <c r="C9" s="68">
        <v>0.12738853503184716</v>
      </c>
      <c r="D9" s="36">
        <v>16000</v>
      </c>
    </row>
    <row r="10" spans="1:4" x14ac:dyDescent="0.35">
      <c r="A10" s="83" t="s">
        <v>27</v>
      </c>
      <c r="B10" s="36">
        <v>2000</v>
      </c>
      <c r="C10" s="68">
        <v>0.12738853503184716</v>
      </c>
      <c r="D10" s="36">
        <v>16000</v>
      </c>
    </row>
    <row r="11" spans="1:4" x14ac:dyDescent="0.35">
      <c r="A11" s="38" t="s">
        <v>259</v>
      </c>
      <c r="B11" s="36">
        <v>0</v>
      </c>
      <c r="C11" s="68">
        <v>0</v>
      </c>
      <c r="D11" s="36">
        <v>12000</v>
      </c>
    </row>
    <row r="12" spans="1:4" x14ac:dyDescent="0.35">
      <c r="A12" s="83" t="s">
        <v>27</v>
      </c>
      <c r="B12" s="36">
        <v>0</v>
      </c>
      <c r="C12" s="68">
        <v>0</v>
      </c>
      <c r="D12" s="36">
        <v>12000</v>
      </c>
    </row>
    <row r="13" spans="1:4" x14ac:dyDescent="0.35">
      <c r="A13" s="38" t="s">
        <v>57</v>
      </c>
      <c r="B13" s="36">
        <v>2000</v>
      </c>
      <c r="C13" s="68">
        <v>0.12738853503184716</v>
      </c>
      <c r="D13" s="36">
        <v>16000</v>
      </c>
    </row>
    <row r="14" spans="1:4" x14ac:dyDescent="0.35">
      <c r="A14" s="83" t="s">
        <v>27</v>
      </c>
      <c r="B14" s="36">
        <v>2000</v>
      </c>
      <c r="C14" s="68">
        <v>0.12738853503184716</v>
      </c>
      <c r="D14" s="36">
        <v>16000</v>
      </c>
    </row>
    <row r="15" spans="1:4" x14ac:dyDescent="0.35">
      <c r="A15" s="38" t="s">
        <v>111</v>
      </c>
      <c r="B15" s="36">
        <v>2000</v>
      </c>
      <c r="C15" s="68">
        <v>0.12738853503184716</v>
      </c>
      <c r="D15" s="36">
        <v>16000</v>
      </c>
    </row>
    <row r="16" spans="1:4" x14ac:dyDescent="0.35">
      <c r="A16" s="83" t="s">
        <v>27</v>
      </c>
      <c r="B16" s="36">
        <v>2000</v>
      </c>
      <c r="C16" s="68">
        <v>0.12738853503184716</v>
      </c>
      <c r="D16" s="36">
        <v>16000</v>
      </c>
    </row>
    <row r="17" spans="1:4" x14ac:dyDescent="0.35">
      <c r="A17" s="38" t="s">
        <v>114</v>
      </c>
      <c r="B17" s="36">
        <v>2000</v>
      </c>
      <c r="C17" s="68">
        <v>0.12738853503184716</v>
      </c>
      <c r="D17" s="36">
        <v>16000</v>
      </c>
    </row>
    <row r="18" spans="1:4" x14ac:dyDescent="0.35">
      <c r="A18" s="83" t="s">
        <v>27</v>
      </c>
      <c r="B18" s="36">
        <v>2000</v>
      </c>
      <c r="C18" s="68">
        <v>0.12738853503184716</v>
      </c>
      <c r="D18" s="36">
        <v>16000</v>
      </c>
    </row>
    <row r="19" spans="1:4" x14ac:dyDescent="0.35">
      <c r="A19" s="38" t="s">
        <v>293</v>
      </c>
      <c r="B19" s="36">
        <v>15000</v>
      </c>
      <c r="C19" s="68">
        <v>1</v>
      </c>
      <c r="D19" s="36">
        <v>110000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B79A-3174-409A-89E7-7D5F84B0EF2C}">
  <dimension ref="A1:G6"/>
  <sheetViews>
    <sheetView workbookViewId="0">
      <selection activeCell="I9" sqref="I9"/>
    </sheetView>
  </sheetViews>
  <sheetFormatPr defaultRowHeight="14.5" x14ac:dyDescent="0.35"/>
  <cols>
    <col min="1" max="1" width="18.90625" bestFit="1" customWidth="1"/>
    <col min="2" max="2" width="19.81640625" bestFit="1" customWidth="1"/>
    <col min="3" max="3" width="18.90625" bestFit="1" customWidth="1"/>
    <col min="4" max="13" width="15.26953125" bestFit="1" customWidth="1"/>
    <col min="14" max="14" width="10.7265625" bestFit="1" customWidth="1"/>
  </cols>
  <sheetData>
    <row r="1" spans="1:7" x14ac:dyDescent="0.35">
      <c r="A1" s="37" t="s">
        <v>2</v>
      </c>
      <c r="B1" t="s">
        <v>303</v>
      </c>
    </row>
    <row r="3" spans="1:7" x14ac:dyDescent="0.35">
      <c r="A3" t="s">
        <v>294</v>
      </c>
      <c r="B3" t="s">
        <v>393</v>
      </c>
      <c r="C3" t="s">
        <v>385</v>
      </c>
    </row>
    <row r="4" spans="1:7" x14ac:dyDescent="0.35">
      <c r="A4" s="36">
        <v>0</v>
      </c>
      <c r="B4" s="36">
        <v>7000</v>
      </c>
      <c r="C4" s="36">
        <v>5000</v>
      </c>
    </row>
    <row r="6" spans="1:7" x14ac:dyDescent="0.35">
      <c r="E6">
        <f>GETPIVOTDATA("Sum of Increment_17",$A$3)</f>
        <v>0</v>
      </c>
      <c r="F6">
        <f>GETPIVOTDATA("Sum of Increment_18",$A$3)</f>
        <v>7000</v>
      </c>
      <c r="G6">
        <f>GETPIVOTDATA("Sum of Increment_20",$A$3)</f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C6C4-67AE-4151-82E2-2BC3B95368F0}">
  <dimension ref="A1:AH166"/>
  <sheetViews>
    <sheetView topLeftCell="A112" zoomScale="85" zoomScaleNormal="85" workbookViewId="0">
      <pane xSplit="3" topLeftCell="I1" activePane="topRight" state="frozen"/>
      <selection pane="topRight" activeCell="R135" sqref="R135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90625" style="2" bestFit="1" customWidth="1"/>
    <col min="6" max="6" width="20.26953125" style="2" customWidth="1"/>
    <col min="7" max="7" width="22.54296875" style="2" bestFit="1" customWidth="1"/>
    <col min="8" max="8" width="23.36328125" style="2" customWidth="1"/>
    <col min="9" max="9" width="10.08984375" style="2" bestFit="1" customWidth="1"/>
    <col min="10" max="10" width="8.7265625" style="3"/>
    <col min="11" max="11" width="8.7265625" style="2"/>
    <col min="12" max="12" width="8.81640625" style="42" bestFit="1" customWidth="1"/>
    <col min="13" max="13" width="8.7265625" style="2"/>
    <col min="14" max="14" width="15.6328125" style="2" customWidth="1"/>
    <col min="15" max="15" width="8.7265625" style="1"/>
    <col min="16" max="16" width="22.26953125" style="1" bestFit="1" customWidth="1"/>
    <col min="17" max="17" width="9.81640625" style="1" bestFit="1" customWidth="1"/>
    <col min="18" max="18" width="4.1796875" style="1" bestFit="1" customWidth="1"/>
    <col min="19" max="19" width="8.7265625" style="1"/>
    <col min="20" max="20" width="10.90625" style="1" customWidth="1"/>
    <col min="21" max="16384" width="8.7265625" style="1"/>
  </cols>
  <sheetData>
    <row r="1" spans="1:14" s="4" customFormat="1" ht="35.5" customHeight="1" x14ac:dyDescent="0.35">
      <c r="A1" s="47" t="s">
        <v>0</v>
      </c>
      <c r="B1" s="47" t="s">
        <v>1</v>
      </c>
      <c r="C1" s="47" t="s">
        <v>2</v>
      </c>
      <c r="D1" s="47" t="s">
        <v>183</v>
      </c>
      <c r="E1" s="49" t="s">
        <v>263</v>
      </c>
      <c r="F1" s="49" t="s">
        <v>164</v>
      </c>
      <c r="G1" s="49" t="s">
        <v>165</v>
      </c>
      <c r="H1" s="49" t="s">
        <v>166</v>
      </c>
      <c r="I1" s="50" t="s">
        <v>375</v>
      </c>
      <c r="J1" s="49" t="s">
        <v>167</v>
      </c>
      <c r="K1" s="49" t="s">
        <v>181</v>
      </c>
      <c r="L1" s="50" t="s">
        <v>376</v>
      </c>
      <c r="M1" s="49" t="s">
        <v>168</v>
      </c>
      <c r="N1" s="49" t="s">
        <v>248</v>
      </c>
    </row>
    <row r="2" spans="1:14" s="4" customFormat="1" x14ac:dyDescent="0.25">
      <c r="A2" s="48"/>
      <c r="B2" s="48">
        <v>10062011</v>
      </c>
      <c r="C2" s="48" t="s">
        <v>38</v>
      </c>
      <c r="D2" s="48"/>
      <c r="E2" s="52" t="s">
        <v>175</v>
      </c>
      <c r="F2" s="52" t="s">
        <v>7</v>
      </c>
      <c r="G2" s="52" t="s">
        <v>131</v>
      </c>
      <c r="H2" s="52" t="s">
        <v>169</v>
      </c>
      <c r="I2" s="52">
        <v>102000</v>
      </c>
      <c r="J2" s="54">
        <v>48000</v>
      </c>
      <c r="K2" s="52"/>
      <c r="L2" s="55">
        <v>0.47058823529411764</v>
      </c>
      <c r="M2" s="52">
        <v>150000</v>
      </c>
      <c r="N2" s="52" t="s">
        <v>269</v>
      </c>
    </row>
    <row r="3" spans="1:14" x14ac:dyDescent="0.25">
      <c r="A3" s="48"/>
      <c r="B3" s="48">
        <v>20042012</v>
      </c>
      <c r="C3" s="48" t="s">
        <v>39</v>
      </c>
      <c r="D3" s="48"/>
      <c r="E3" s="52" t="s">
        <v>175</v>
      </c>
      <c r="F3" s="52" t="s">
        <v>7</v>
      </c>
      <c r="G3" s="52" t="s">
        <v>131</v>
      </c>
      <c r="H3" s="52" t="s">
        <v>172</v>
      </c>
      <c r="I3" s="52">
        <v>100000</v>
      </c>
      <c r="J3" s="54">
        <v>20000</v>
      </c>
      <c r="K3" s="52"/>
      <c r="L3" s="55">
        <v>0.2</v>
      </c>
      <c r="M3" s="52">
        <v>120000</v>
      </c>
      <c r="N3" s="52"/>
    </row>
    <row r="4" spans="1:14" x14ac:dyDescent="0.25">
      <c r="A4" s="48"/>
      <c r="B4" s="48">
        <v>10042008</v>
      </c>
      <c r="C4" s="48" t="s">
        <v>126</v>
      </c>
      <c r="D4" s="48"/>
      <c r="E4" s="52" t="s">
        <v>175</v>
      </c>
      <c r="F4" s="52" t="s">
        <v>7</v>
      </c>
      <c r="G4" s="52" t="s">
        <v>131</v>
      </c>
      <c r="H4" s="52" t="s">
        <v>170</v>
      </c>
      <c r="I4" s="52">
        <v>100000</v>
      </c>
      <c r="J4" s="54">
        <v>20000</v>
      </c>
      <c r="K4" s="52"/>
      <c r="L4" s="55">
        <v>0.2</v>
      </c>
      <c r="M4" s="52">
        <v>120000</v>
      </c>
      <c r="N4" s="52"/>
    </row>
    <row r="5" spans="1:14" x14ac:dyDescent="0.25">
      <c r="A5" s="48"/>
      <c r="B5" s="48">
        <v>10052012</v>
      </c>
      <c r="C5" s="48" t="s">
        <v>40</v>
      </c>
      <c r="D5" s="48"/>
      <c r="E5" s="52" t="s">
        <v>175</v>
      </c>
      <c r="F5" s="52" t="s">
        <v>7</v>
      </c>
      <c r="G5" s="52" t="s">
        <v>131</v>
      </c>
      <c r="H5" s="52" t="s">
        <v>171</v>
      </c>
      <c r="I5" s="52">
        <v>90000</v>
      </c>
      <c r="J5" s="54">
        <v>20000</v>
      </c>
      <c r="K5" s="52"/>
      <c r="L5" s="55">
        <v>0.22222222222222221</v>
      </c>
      <c r="M5" s="52">
        <v>110000</v>
      </c>
      <c r="N5" s="52"/>
    </row>
    <row r="6" spans="1:14" x14ac:dyDescent="0.25">
      <c r="A6" s="48"/>
      <c r="B6" s="48">
        <v>20532015</v>
      </c>
      <c r="C6" s="48" t="s">
        <v>127</v>
      </c>
      <c r="D6" s="48"/>
      <c r="E6" s="52" t="s">
        <v>175</v>
      </c>
      <c r="F6" s="52" t="s">
        <v>7</v>
      </c>
      <c r="G6" s="52" t="s">
        <v>131</v>
      </c>
      <c r="H6" s="52" t="s">
        <v>21</v>
      </c>
      <c r="I6" s="52">
        <v>60000</v>
      </c>
      <c r="J6" s="54">
        <v>10000</v>
      </c>
      <c r="K6" s="52"/>
      <c r="L6" s="55">
        <v>0.16666666666666666</v>
      </c>
      <c r="M6" s="52">
        <v>70000</v>
      </c>
      <c r="N6" s="52"/>
    </row>
    <row r="7" spans="1:14" x14ac:dyDescent="0.25">
      <c r="A7" s="48"/>
      <c r="B7" s="48">
        <v>21072016</v>
      </c>
      <c r="C7" s="48" t="s">
        <v>41</v>
      </c>
      <c r="D7" s="48"/>
      <c r="E7" s="52" t="s">
        <v>175</v>
      </c>
      <c r="F7" s="52" t="s">
        <v>7</v>
      </c>
      <c r="G7" s="52" t="s">
        <v>131</v>
      </c>
      <c r="H7" s="52" t="s">
        <v>21</v>
      </c>
      <c r="I7" s="52">
        <v>54000</v>
      </c>
      <c r="J7" s="54">
        <v>4000</v>
      </c>
      <c r="K7" s="52"/>
      <c r="L7" s="55">
        <v>7.407407407407407E-2</v>
      </c>
      <c r="M7" s="52">
        <v>58000</v>
      </c>
      <c r="N7" s="52"/>
    </row>
    <row r="8" spans="1:14" x14ac:dyDescent="0.25">
      <c r="A8" s="48"/>
      <c r="B8" s="48">
        <v>10132009</v>
      </c>
      <c r="C8" s="48" t="s">
        <v>42</v>
      </c>
      <c r="D8" s="48"/>
      <c r="E8" s="52" t="s">
        <v>175</v>
      </c>
      <c r="F8" s="52" t="s">
        <v>7</v>
      </c>
      <c r="G8" s="52" t="s">
        <v>131</v>
      </c>
      <c r="H8" s="52" t="s">
        <v>21</v>
      </c>
      <c r="I8" s="52">
        <v>45000</v>
      </c>
      <c r="J8" s="54">
        <v>5000</v>
      </c>
      <c r="K8" s="52"/>
      <c r="L8" s="55">
        <v>0.1111111111111111</v>
      </c>
      <c r="M8" s="52">
        <v>50000</v>
      </c>
      <c r="N8" s="52"/>
    </row>
    <row r="9" spans="1:14" x14ac:dyDescent="0.25">
      <c r="A9" s="48"/>
      <c r="B9" s="48">
        <v>10582007</v>
      </c>
      <c r="C9" s="48" t="s">
        <v>129</v>
      </c>
      <c r="D9" s="48"/>
      <c r="E9" s="52" t="s">
        <v>175</v>
      </c>
      <c r="F9" s="52" t="s">
        <v>7</v>
      </c>
      <c r="G9" s="52" t="s">
        <v>131</v>
      </c>
      <c r="H9" s="52" t="s">
        <v>9</v>
      </c>
      <c r="I9" s="52">
        <v>35000</v>
      </c>
      <c r="J9" s="54">
        <v>0</v>
      </c>
      <c r="K9" s="52"/>
      <c r="L9" s="55">
        <v>0</v>
      </c>
      <c r="M9" s="52">
        <v>35000</v>
      </c>
      <c r="N9" s="52"/>
    </row>
    <row r="10" spans="1:14" x14ac:dyDescent="0.25">
      <c r="A10" s="48"/>
      <c r="B10" s="48">
        <v>10782016</v>
      </c>
      <c r="C10" s="48" t="s">
        <v>43</v>
      </c>
      <c r="D10" s="48"/>
      <c r="E10" s="52" t="s">
        <v>175</v>
      </c>
      <c r="F10" s="52" t="s">
        <v>7</v>
      </c>
      <c r="G10" s="52" t="s">
        <v>36</v>
      </c>
      <c r="H10" s="52" t="s">
        <v>132</v>
      </c>
      <c r="I10" s="52">
        <v>180000</v>
      </c>
      <c r="J10" s="54">
        <v>5000</v>
      </c>
      <c r="K10" s="52"/>
      <c r="L10" s="55">
        <v>2.7777777777777776E-2</v>
      </c>
      <c r="M10" s="52">
        <v>185000</v>
      </c>
      <c r="N10" s="52"/>
    </row>
    <row r="11" spans="1:14" x14ac:dyDescent="0.25">
      <c r="A11" s="48"/>
      <c r="B11" s="48">
        <v>21152017</v>
      </c>
      <c r="C11" s="48" t="s">
        <v>44</v>
      </c>
      <c r="D11" s="48"/>
      <c r="E11" s="52" t="s">
        <v>175</v>
      </c>
      <c r="F11" s="52" t="s">
        <v>7</v>
      </c>
      <c r="G11" s="52" t="s">
        <v>36</v>
      </c>
      <c r="H11" s="52" t="s">
        <v>130</v>
      </c>
      <c r="I11" s="52">
        <v>105000</v>
      </c>
      <c r="J11" s="54">
        <v>5000</v>
      </c>
      <c r="K11" s="52"/>
      <c r="L11" s="55">
        <v>4.7619047619047616E-2</v>
      </c>
      <c r="M11" s="52">
        <v>110000</v>
      </c>
      <c r="N11" s="52"/>
    </row>
    <row r="12" spans="1:14" x14ac:dyDescent="0.25">
      <c r="A12" s="48"/>
      <c r="B12" s="48">
        <v>20332017</v>
      </c>
      <c r="C12" s="48" t="s">
        <v>45</v>
      </c>
      <c r="D12" s="48"/>
      <c r="E12" s="52" t="s">
        <v>175</v>
      </c>
      <c r="F12" s="52" t="s">
        <v>7</v>
      </c>
      <c r="G12" s="52" t="s">
        <v>36</v>
      </c>
      <c r="H12" s="52" t="s">
        <v>21</v>
      </c>
      <c r="I12" s="52">
        <v>67000</v>
      </c>
      <c r="J12" s="54">
        <v>3000</v>
      </c>
      <c r="K12" s="52"/>
      <c r="L12" s="55">
        <v>4.4776119402985072E-2</v>
      </c>
      <c r="M12" s="52">
        <v>70000</v>
      </c>
      <c r="N12" s="52"/>
    </row>
    <row r="13" spans="1:14" x14ac:dyDescent="0.25">
      <c r="A13" s="48"/>
      <c r="B13" s="48">
        <v>20342009</v>
      </c>
      <c r="C13" s="48" t="s">
        <v>46</v>
      </c>
      <c r="D13" s="48"/>
      <c r="E13" s="52" t="s">
        <v>175</v>
      </c>
      <c r="F13" s="52" t="s">
        <v>7</v>
      </c>
      <c r="G13" s="52" t="s">
        <v>36</v>
      </c>
      <c r="H13" s="52" t="s">
        <v>176</v>
      </c>
      <c r="I13" s="52">
        <v>47000</v>
      </c>
      <c r="J13" s="54">
        <v>3000</v>
      </c>
      <c r="K13" s="52"/>
      <c r="L13" s="55">
        <v>6.3829787234042548E-2</v>
      </c>
      <c r="M13" s="52">
        <v>50000</v>
      </c>
      <c r="N13" s="52"/>
    </row>
    <row r="14" spans="1:14" x14ac:dyDescent="0.25">
      <c r="A14" s="48"/>
      <c r="B14" s="48">
        <v>10752016</v>
      </c>
      <c r="C14" s="48" t="s">
        <v>47</v>
      </c>
      <c r="D14" s="48"/>
      <c r="E14" s="52" t="s">
        <v>175</v>
      </c>
      <c r="F14" s="52" t="s">
        <v>7</v>
      </c>
      <c r="G14" s="52" t="s">
        <v>36</v>
      </c>
      <c r="H14" s="52" t="s">
        <v>3</v>
      </c>
      <c r="I14" s="52">
        <v>35000</v>
      </c>
      <c r="J14" s="54">
        <v>5000</v>
      </c>
      <c r="K14" s="52"/>
      <c r="L14" s="55">
        <v>0.14285714285714285</v>
      </c>
      <c r="M14" s="52">
        <v>40000</v>
      </c>
      <c r="N14" s="52"/>
    </row>
    <row r="15" spans="1:14" x14ac:dyDescent="0.25">
      <c r="A15" s="48"/>
      <c r="B15" s="48">
        <v>10732016</v>
      </c>
      <c r="C15" s="48" t="s">
        <v>48</v>
      </c>
      <c r="D15" s="48"/>
      <c r="E15" s="52" t="s">
        <v>175</v>
      </c>
      <c r="F15" s="52" t="s">
        <v>7</v>
      </c>
      <c r="G15" s="52" t="s">
        <v>36</v>
      </c>
      <c r="H15" s="52" t="s">
        <v>3</v>
      </c>
      <c r="I15" s="52">
        <v>33000</v>
      </c>
      <c r="J15" s="54">
        <v>5000</v>
      </c>
      <c r="K15" s="52"/>
      <c r="L15" s="55">
        <v>0.15151515151515152</v>
      </c>
      <c r="M15" s="52">
        <v>38000</v>
      </c>
      <c r="N15" s="52"/>
    </row>
    <row r="16" spans="1:14" x14ac:dyDescent="0.25">
      <c r="A16" s="48"/>
      <c r="B16" s="48">
        <v>20302005</v>
      </c>
      <c r="C16" s="48" t="s">
        <v>49</v>
      </c>
      <c r="D16" s="48"/>
      <c r="E16" s="52" t="s">
        <v>175</v>
      </c>
      <c r="F16" s="52" t="s">
        <v>7</v>
      </c>
      <c r="G16" s="52" t="s">
        <v>36</v>
      </c>
      <c r="H16" s="52" t="s">
        <v>3</v>
      </c>
      <c r="I16" s="52">
        <v>46000</v>
      </c>
      <c r="J16" s="54">
        <v>4000</v>
      </c>
      <c r="K16" s="52"/>
      <c r="L16" s="55">
        <v>8.6956521739130432E-2</v>
      </c>
      <c r="M16" s="52">
        <v>50000</v>
      </c>
      <c r="N16" s="52"/>
    </row>
    <row r="17" spans="1:34" s="32" customFormat="1" x14ac:dyDescent="0.25">
      <c r="A17" s="48"/>
      <c r="B17" s="48">
        <v>10392012</v>
      </c>
      <c r="C17" s="48" t="s">
        <v>50</v>
      </c>
      <c r="D17" s="48"/>
      <c r="E17" s="52" t="s">
        <v>175</v>
      </c>
      <c r="F17" s="52" t="s">
        <v>7</v>
      </c>
      <c r="G17" s="52" t="s">
        <v>36</v>
      </c>
      <c r="H17" s="52" t="s">
        <v>5</v>
      </c>
      <c r="I17" s="52">
        <v>33000</v>
      </c>
      <c r="J17" s="54">
        <v>5000</v>
      </c>
      <c r="K17" s="52"/>
      <c r="L17" s="55">
        <v>0.15151515151515152</v>
      </c>
      <c r="M17" s="52">
        <v>38000</v>
      </c>
      <c r="N17" s="5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32" customFormat="1" x14ac:dyDescent="0.25">
      <c r="A18" s="48"/>
      <c r="B18" s="48">
        <v>10402012</v>
      </c>
      <c r="C18" s="48" t="s">
        <v>51</v>
      </c>
      <c r="D18" s="48"/>
      <c r="E18" s="52" t="s">
        <v>175</v>
      </c>
      <c r="F18" s="52" t="s">
        <v>7</v>
      </c>
      <c r="G18" s="52" t="s">
        <v>36</v>
      </c>
      <c r="H18" s="52" t="s">
        <v>5</v>
      </c>
      <c r="I18" s="52">
        <v>36000</v>
      </c>
      <c r="J18" s="54">
        <v>5000</v>
      </c>
      <c r="K18" s="52"/>
      <c r="L18" s="55">
        <v>0.1388888888888889</v>
      </c>
      <c r="M18" s="52">
        <v>41000</v>
      </c>
      <c r="N18" s="5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32" customFormat="1" x14ac:dyDescent="0.25">
      <c r="A19" s="48"/>
      <c r="B19" s="48">
        <v>10722016</v>
      </c>
      <c r="C19" s="48" t="s">
        <v>52</v>
      </c>
      <c r="D19" s="48"/>
      <c r="E19" s="52" t="s">
        <v>175</v>
      </c>
      <c r="F19" s="52" t="s">
        <v>7</v>
      </c>
      <c r="G19" s="52" t="s">
        <v>36</v>
      </c>
      <c r="H19" s="52" t="s">
        <v>6</v>
      </c>
      <c r="I19" s="52">
        <v>30000</v>
      </c>
      <c r="J19" s="54">
        <v>3000</v>
      </c>
      <c r="K19" s="52"/>
      <c r="L19" s="55">
        <v>0.1</v>
      </c>
      <c r="M19" s="52">
        <v>33000</v>
      </c>
      <c r="N19" s="5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32" customFormat="1" x14ac:dyDescent="0.25">
      <c r="A20" s="48"/>
      <c r="B20" s="48">
        <v>10692016</v>
      </c>
      <c r="C20" s="48" t="s">
        <v>53</v>
      </c>
      <c r="D20" s="48"/>
      <c r="E20" s="52" t="s">
        <v>175</v>
      </c>
      <c r="F20" s="52" t="s">
        <v>7</v>
      </c>
      <c r="G20" s="52" t="s">
        <v>36</v>
      </c>
      <c r="H20" s="52" t="s">
        <v>3</v>
      </c>
      <c r="I20" s="52">
        <v>26000</v>
      </c>
      <c r="J20" s="54">
        <v>6000</v>
      </c>
      <c r="K20" s="52"/>
      <c r="L20" s="55">
        <v>0.23076923076923078</v>
      </c>
      <c r="M20" s="52">
        <v>32000</v>
      </c>
      <c r="N20" s="5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s="32" customFormat="1" x14ac:dyDescent="0.25">
      <c r="A21" s="48"/>
      <c r="B21" s="48">
        <v>20932017</v>
      </c>
      <c r="C21" s="48" t="s">
        <v>54</v>
      </c>
      <c r="D21" s="48"/>
      <c r="E21" s="52" t="s">
        <v>175</v>
      </c>
      <c r="F21" s="52" t="s">
        <v>7</v>
      </c>
      <c r="G21" s="52" t="s">
        <v>36</v>
      </c>
      <c r="H21" s="52" t="s">
        <v>3</v>
      </c>
      <c r="I21" s="52">
        <v>25000</v>
      </c>
      <c r="J21" s="54">
        <v>5000</v>
      </c>
      <c r="K21" s="52"/>
      <c r="L21" s="55">
        <v>0.2</v>
      </c>
      <c r="M21" s="52">
        <v>30000</v>
      </c>
      <c r="N21" s="5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s="32" customFormat="1" x14ac:dyDescent="0.25">
      <c r="A22" s="48"/>
      <c r="B22" s="48">
        <v>21212018</v>
      </c>
      <c r="C22" s="48" t="s">
        <v>55</v>
      </c>
      <c r="D22" s="48"/>
      <c r="E22" s="52" t="s">
        <v>175</v>
      </c>
      <c r="F22" s="52" t="s">
        <v>7</v>
      </c>
      <c r="G22" s="52" t="s">
        <v>36</v>
      </c>
      <c r="H22" s="52" t="s">
        <v>5</v>
      </c>
      <c r="I22" s="52">
        <v>20000</v>
      </c>
      <c r="J22" s="54">
        <v>3000</v>
      </c>
      <c r="K22" s="52"/>
      <c r="L22" s="55">
        <v>0.15</v>
      </c>
      <c r="M22" s="52">
        <v>23000</v>
      </c>
      <c r="N22" s="5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32" customFormat="1" x14ac:dyDescent="0.25">
      <c r="A23" s="48"/>
      <c r="B23" s="48">
        <v>21322018</v>
      </c>
      <c r="C23" s="48" t="s">
        <v>179</v>
      </c>
      <c r="D23" s="48"/>
      <c r="E23" s="52" t="s">
        <v>175</v>
      </c>
      <c r="F23" s="52" t="s">
        <v>7</v>
      </c>
      <c r="G23" s="52" t="s">
        <v>36</v>
      </c>
      <c r="H23" s="52" t="s">
        <v>5</v>
      </c>
      <c r="I23" s="52">
        <v>18000</v>
      </c>
      <c r="J23" s="54">
        <v>5000</v>
      </c>
      <c r="K23" s="52"/>
      <c r="L23" s="55">
        <v>0.27777777777777779</v>
      </c>
      <c r="M23" s="52">
        <v>23000</v>
      </c>
      <c r="N23" s="5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32" customFormat="1" x14ac:dyDescent="0.25">
      <c r="A24" s="48"/>
      <c r="B24" s="48">
        <v>11012018</v>
      </c>
      <c r="C24" s="48" t="s">
        <v>56</v>
      </c>
      <c r="D24" s="48"/>
      <c r="E24" s="52" t="s">
        <v>175</v>
      </c>
      <c r="F24" s="52" t="s">
        <v>7</v>
      </c>
      <c r="G24" s="52" t="s">
        <v>37</v>
      </c>
      <c r="H24" s="52" t="s">
        <v>136</v>
      </c>
      <c r="I24" s="52">
        <v>150000</v>
      </c>
      <c r="J24" s="54">
        <v>5000</v>
      </c>
      <c r="K24" s="52"/>
      <c r="L24" s="55">
        <v>3.3333333333333333E-2</v>
      </c>
      <c r="M24" s="52">
        <v>155000</v>
      </c>
      <c r="N24" s="5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32" customFormat="1" x14ac:dyDescent="0.25">
      <c r="A25" s="48"/>
      <c r="B25" s="48">
        <v>20282010</v>
      </c>
      <c r="C25" s="48" t="s">
        <v>57</v>
      </c>
      <c r="D25" s="48"/>
      <c r="E25" s="52" t="s">
        <v>175</v>
      </c>
      <c r="F25" s="52" t="s">
        <v>7</v>
      </c>
      <c r="G25" s="52" t="s">
        <v>37</v>
      </c>
      <c r="H25" s="52" t="s">
        <v>4</v>
      </c>
      <c r="I25" s="52">
        <v>61000</v>
      </c>
      <c r="J25" s="54">
        <v>5000</v>
      </c>
      <c r="K25" s="52"/>
      <c r="L25" s="55">
        <v>8.1967213114754092E-2</v>
      </c>
      <c r="M25" s="52">
        <v>66000</v>
      </c>
      <c r="N25" s="5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32" customFormat="1" x14ac:dyDescent="0.25">
      <c r="A26" s="48"/>
      <c r="B26" s="48">
        <v>21132017</v>
      </c>
      <c r="C26" s="48" t="s">
        <v>58</v>
      </c>
      <c r="D26" s="48"/>
      <c r="E26" s="52" t="s">
        <v>175</v>
      </c>
      <c r="F26" s="52" t="s">
        <v>7</v>
      </c>
      <c r="G26" s="52" t="s">
        <v>37</v>
      </c>
      <c r="H26" s="52" t="s">
        <v>4</v>
      </c>
      <c r="I26" s="52">
        <v>45000</v>
      </c>
      <c r="J26" s="54">
        <v>5000</v>
      </c>
      <c r="K26" s="52"/>
      <c r="L26" s="55">
        <v>0.1111111111111111</v>
      </c>
      <c r="M26" s="52">
        <v>50000</v>
      </c>
      <c r="N26" s="5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s="32" customFormat="1" x14ac:dyDescent="0.25">
      <c r="A27" s="48"/>
      <c r="B27" s="48">
        <v>30572016</v>
      </c>
      <c r="C27" s="48" t="s">
        <v>59</v>
      </c>
      <c r="D27" s="48"/>
      <c r="E27" s="52" t="s">
        <v>175</v>
      </c>
      <c r="F27" s="52" t="s">
        <v>7</v>
      </c>
      <c r="G27" s="52" t="s">
        <v>37</v>
      </c>
      <c r="H27" s="52" t="s">
        <v>4</v>
      </c>
      <c r="I27" s="52">
        <v>30000</v>
      </c>
      <c r="J27" s="54">
        <v>4000</v>
      </c>
      <c r="K27" s="52"/>
      <c r="L27" s="55">
        <v>0.13333333333333333</v>
      </c>
      <c r="M27" s="52">
        <v>34000</v>
      </c>
      <c r="N27" s="5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s="32" customFormat="1" x14ac:dyDescent="0.25">
      <c r="A28" s="48"/>
      <c r="B28" s="48">
        <v>10712016</v>
      </c>
      <c r="C28" s="48" t="s">
        <v>60</v>
      </c>
      <c r="D28" s="48"/>
      <c r="E28" s="52" t="s">
        <v>175</v>
      </c>
      <c r="F28" s="52" t="s">
        <v>7</v>
      </c>
      <c r="G28" s="52" t="s">
        <v>137</v>
      </c>
      <c r="H28" s="52" t="s">
        <v>184</v>
      </c>
      <c r="I28" s="52">
        <v>42000</v>
      </c>
      <c r="J28" s="54">
        <v>5000</v>
      </c>
      <c r="K28" s="52"/>
      <c r="L28" s="55">
        <v>0.11904761904761904</v>
      </c>
      <c r="M28" s="52">
        <v>47000</v>
      </c>
      <c r="N28" s="5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s="32" customFormat="1" x14ac:dyDescent="0.25">
      <c r="A29" s="48"/>
      <c r="B29" s="48">
        <v>20352011</v>
      </c>
      <c r="C29" s="48" t="s">
        <v>61</v>
      </c>
      <c r="D29" s="48"/>
      <c r="E29" s="52" t="s">
        <v>175</v>
      </c>
      <c r="F29" s="52" t="s">
        <v>7</v>
      </c>
      <c r="G29" s="52" t="s">
        <v>137</v>
      </c>
      <c r="H29" s="52" t="s">
        <v>4</v>
      </c>
      <c r="I29" s="52">
        <v>33000</v>
      </c>
      <c r="J29" s="54">
        <v>3000</v>
      </c>
      <c r="K29" s="52"/>
      <c r="L29" s="55">
        <v>9.0909090909090912E-2</v>
      </c>
      <c r="M29" s="52">
        <v>36000</v>
      </c>
      <c r="N29" s="5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s="32" customFormat="1" x14ac:dyDescent="0.25">
      <c r="A30" s="48"/>
      <c r="B30" s="48">
        <v>21232018</v>
      </c>
      <c r="C30" s="48" t="s">
        <v>62</v>
      </c>
      <c r="D30" s="48"/>
      <c r="E30" s="52" t="s">
        <v>175</v>
      </c>
      <c r="F30" s="52" t="s">
        <v>7</v>
      </c>
      <c r="G30" s="52" t="s">
        <v>137</v>
      </c>
      <c r="H30" s="52" t="s">
        <v>3</v>
      </c>
      <c r="I30" s="52">
        <v>20000</v>
      </c>
      <c r="J30" s="54">
        <v>5000</v>
      </c>
      <c r="K30" s="52"/>
      <c r="L30" s="55">
        <v>0.25</v>
      </c>
      <c r="M30" s="52">
        <v>25000</v>
      </c>
      <c r="N30" s="5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s="32" customFormat="1" x14ac:dyDescent="0.25">
      <c r="A31" s="48"/>
      <c r="B31" s="48">
        <v>20842017</v>
      </c>
      <c r="C31" s="48" t="s">
        <v>63</v>
      </c>
      <c r="D31" s="48"/>
      <c r="E31" s="52" t="s">
        <v>175</v>
      </c>
      <c r="F31" s="52" t="s">
        <v>7</v>
      </c>
      <c r="G31" s="52" t="s">
        <v>137</v>
      </c>
      <c r="H31" s="52" t="s">
        <v>4</v>
      </c>
      <c r="I31" s="52">
        <v>25000</v>
      </c>
      <c r="J31" s="54">
        <v>5000</v>
      </c>
      <c r="K31" s="52"/>
      <c r="L31" s="55">
        <v>0.2</v>
      </c>
      <c r="M31" s="52">
        <v>30000</v>
      </c>
      <c r="N31" s="5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s="32" customFormat="1" x14ac:dyDescent="0.25">
      <c r="A32" s="48"/>
      <c r="B32" s="48">
        <v>11092018</v>
      </c>
      <c r="C32" s="48" t="s">
        <v>194</v>
      </c>
      <c r="D32" s="48"/>
      <c r="E32" s="52" t="s">
        <v>175</v>
      </c>
      <c r="F32" s="52" t="s">
        <v>7</v>
      </c>
      <c r="G32" s="52" t="s">
        <v>138</v>
      </c>
      <c r="H32" s="52" t="s">
        <v>17</v>
      </c>
      <c r="I32" s="52">
        <v>100000</v>
      </c>
      <c r="J32" s="54">
        <v>10000</v>
      </c>
      <c r="K32" s="52"/>
      <c r="L32" s="55">
        <v>0.1</v>
      </c>
      <c r="M32" s="52">
        <v>110000</v>
      </c>
      <c r="N32" s="5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s="32" customFormat="1" x14ac:dyDescent="0.25">
      <c r="A33" s="48"/>
      <c r="B33" s="48">
        <v>30211994</v>
      </c>
      <c r="C33" s="48" t="s">
        <v>64</v>
      </c>
      <c r="D33" s="48"/>
      <c r="E33" s="52" t="s">
        <v>175</v>
      </c>
      <c r="F33" s="52" t="s">
        <v>7</v>
      </c>
      <c r="G33" s="52" t="s">
        <v>138</v>
      </c>
      <c r="H33" s="52" t="s">
        <v>139</v>
      </c>
      <c r="I33" s="52">
        <v>65000</v>
      </c>
      <c r="J33" s="54">
        <v>5000</v>
      </c>
      <c r="K33" s="52"/>
      <c r="L33" s="55">
        <v>7.6923076923076927E-2</v>
      </c>
      <c r="M33" s="52">
        <v>70000</v>
      </c>
      <c r="N33" s="5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s="32" customFormat="1" x14ac:dyDescent="0.25">
      <c r="A34" s="48"/>
      <c r="B34" s="48">
        <v>21032017</v>
      </c>
      <c r="C34" s="48" t="s">
        <v>66</v>
      </c>
      <c r="D34" s="48"/>
      <c r="E34" s="52" t="s">
        <v>175</v>
      </c>
      <c r="F34" s="52" t="s">
        <v>7</v>
      </c>
      <c r="G34" s="52" t="s">
        <v>138</v>
      </c>
      <c r="H34" s="52" t="s">
        <v>8</v>
      </c>
      <c r="I34" s="52">
        <v>20000</v>
      </c>
      <c r="J34" s="54">
        <v>6000</v>
      </c>
      <c r="K34" s="52"/>
      <c r="L34" s="55">
        <v>0.3</v>
      </c>
      <c r="M34" s="52">
        <v>26000</v>
      </c>
      <c r="N34" s="5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s="32" customFormat="1" x14ac:dyDescent="0.25">
      <c r="A35" s="48"/>
      <c r="B35" s="48">
        <v>30150000</v>
      </c>
      <c r="C35" s="48" t="s">
        <v>67</v>
      </c>
      <c r="D35" s="48"/>
      <c r="E35" s="52" t="s">
        <v>175</v>
      </c>
      <c r="F35" s="52" t="s">
        <v>7</v>
      </c>
      <c r="G35" s="52" t="s">
        <v>32</v>
      </c>
      <c r="H35" s="52" t="s">
        <v>33</v>
      </c>
      <c r="I35" s="52">
        <v>84000</v>
      </c>
      <c r="J35" s="54">
        <v>6000</v>
      </c>
      <c r="K35" s="52"/>
      <c r="L35" s="55">
        <v>7.1428571428571425E-2</v>
      </c>
      <c r="M35" s="52">
        <v>90000</v>
      </c>
      <c r="N35" s="5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s="32" customFormat="1" x14ac:dyDescent="0.25">
      <c r="A36" s="48"/>
      <c r="B36" s="48">
        <v>10242004</v>
      </c>
      <c r="C36" s="48" t="s">
        <v>68</v>
      </c>
      <c r="D36" s="48"/>
      <c r="E36" s="52" t="s">
        <v>175</v>
      </c>
      <c r="F36" s="52" t="s">
        <v>7</v>
      </c>
      <c r="G36" s="52" t="s">
        <v>32</v>
      </c>
      <c r="H36" s="52" t="s">
        <v>3</v>
      </c>
      <c r="I36" s="52">
        <v>34000</v>
      </c>
      <c r="J36" s="54">
        <v>3000</v>
      </c>
      <c r="K36" s="52"/>
      <c r="L36" s="55">
        <v>8.8235294117647065E-2</v>
      </c>
      <c r="M36" s="52">
        <v>37000</v>
      </c>
      <c r="N36" s="5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s="32" customFormat="1" x14ac:dyDescent="0.25">
      <c r="A37" s="48"/>
      <c r="B37" s="48">
        <v>20922016</v>
      </c>
      <c r="C37" s="48" t="s">
        <v>69</v>
      </c>
      <c r="D37" s="48"/>
      <c r="E37" s="52" t="s">
        <v>175</v>
      </c>
      <c r="F37" s="52" t="s">
        <v>7</v>
      </c>
      <c r="G37" s="52" t="s">
        <v>32</v>
      </c>
      <c r="H37" s="52" t="s">
        <v>6</v>
      </c>
      <c r="I37" s="52">
        <v>22000</v>
      </c>
      <c r="J37" s="54">
        <v>6000</v>
      </c>
      <c r="K37" s="52"/>
      <c r="L37" s="55">
        <v>0.27272727272727271</v>
      </c>
      <c r="M37" s="52">
        <v>28000</v>
      </c>
      <c r="N37" s="5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s="32" customFormat="1" x14ac:dyDescent="0.25">
      <c r="A38" s="48"/>
      <c r="B38" s="48">
        <v>10852017</v>
      </c>
      <c r="C38" s="48" t="s">
        <v>70</v>
      </c>
      <c r="D38" s="48"/>
      <c r="E38" s="52" t="s">
        <v>175</v>
      </c>
      <c r="F38" s="52" t="s">
        <v>7</v>
      </c>
      <c r="G38" s="52" t="s">
        <v>32</v>
      </c>
      <c r="H38" s="52" t="s">
        <v>3</v>
      </c>
      <c r="I38" s="52">
        <v>28000</v>
      </c>
      <c r="J38" s="54">
        <v>3000</v>
      </c>
      <c r="K38" s="52"/>
      <c r="L38" s="55">
        <v>0.10714285714285714</v>
      </c>
      <c r="M38" s="52">
        <v>31000</v>
      </c>
      <c r="N38" s="5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s="32" customFormat="1" x14ac:dyDescent="0.25">
      <c r="A39" s="48"/>
      <c r="B39" s="48">
        <v>20242005</v>
      </c>
      <c r="C39" s="48" t="s">
        <v>71</v>
      </c>
      <c r="D39" s="48"/>
      <c r="E39" s="52" t="s">
        <v>175</v>
      </c>
      <c r="F39" s="52" t="s">
        <v>7</v>
      </c>
      <c r="G39" s="52" t="s">
        <v>32</v>
      </c>
      <c r="H39" s="52" t="s">
        <v>5</v>
      </c>
      <c r="I39" s="52">
        <v>32000</v>
      </c>
      <c r="J39" s="54">
        <v>4000</v>
      </c>
      <c r="K39" s="52"/>
      <c r="L39" s="55">
        <v>0.125</v>
      </c>
      <c r="M39" s="52">
        <v>36000</v>
      </c>
      <c r="N39" s="5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s="32" customFormat="1" x14ac:dyDescent="0.25">
      <c r="A40" s="48"/>
      <c r="B40" s="48">
        <v>10982017</v>
      </c>
      <c r="C40" s="48" t="s">
        <v>72</v>
      </c>
      <c r="D40" s="48"/>
      <c r="E40" s="52" t="s">
        <v>175</v>
      </c>
      <c r="F40" s="52" t="s">
        <v>7</v>
      </c>
      <c r="G40" s="52" t="s">
        <v>37</v>
      </c>
      <c r="H40" s="52" t="s">
        <v>141</v>
      </c>
      <c r="I40" s="52">
        <v>20000</v>
      </c>
      <c r="J40" s="54">
        <v>6000</v>
      </c>
      <c r="K40" s="52"/>
      <c r="L40" s="55">
        <v>0.3</v>
      </c>
      <c r="M40" s="52">
        <v>26000</v>
      </c>
      <c r="N40" s="5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s="32" customFormat="1" x14ac:dyDescent="0.25">
      <c r="A41" s="48"/>
      <c r="B41" s="48">
        <v>21272018</v>
      </c>
      <c r="C41" s="48" t="s">
        <v>73</v>
      </c>
      <c r="D41" s="48"/>
      <c r="E41" s="52" t="s">
        <v>175</v>
      </c>
      <c r="F41" s="52" t="s">
        <v>7</v>
      </c>
      <c r="G41" s="52" t="s">
        <v>32</v>
      </c>
      <c r="H41" s="52" t="s">
        <v>8</v>
      </c>
      <c r="I41" s="52">
        <v>15000</v>
      </c>
      <c r="J41" s="54">
        <v>5000</v>
      </c>
      <c r="K41" s="52"/>
      <c r="L41" s="55">
        <v>0.33333333333333331</v>
      </c>
      <c r="M41" s="52">
        <v>20000</v>
      </c>
      <c r="N41" s="5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s="32" customFormat="1" x14ac:dyDescent="0.25">
      <c r="A42" s="48"/>
      <c r="B42" s="48">
        <v>10762016</v>
      </c>
      <c r="C42" s="48" t="s">
        <v>74</v>
      </c>
      <c r="D42" s="48"/>
      <c r="E42" s="52" t="s">
        <v>175</v>
      </c>
      <c r="F42" s="52" t="s">
        <v>7</v>
      </c>
      <c r="G42" s="52" t="s">
        <v>146</v>
      </c>
      <c r="H42" s="52" t="s">
        <v>5</v>
      </c>
      <c r="I42" s="52">
        <v>26000</v>
      </c>
      <c r="J42" s="54">
        <v>4000</v>
      </c>
      <c r="K42" s="52"/>
      <c r="L42" s="55">
        <v>0.15384615384615385</v>
      </c>
      <c r="M42" s="52">
        <v>30000</v>
      </c>
      <c r="N42" s="5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s="32" customFormat="1" x14ac:dyDescent="0.25">
      <c r="A43" s="48"/>
      <c r="B43" s="48">
        <v>20072000</v>
      </c>
      <c r="C43" s="48" t="s">
        <v>75</v>
      </c>
      <c r="D43" s="48"/>
      <c r="E43" s="52" t="s">
        <v>175</v>
      </c>
      <c r="F43" s="52" t="s">
        <v>7</v>
      </c>
      <c r="G43" s="52" t="s">
        <v>19</v>
      </c>
      <c r="H43" s="52" t="s">
        <v>139</v>
      </c>
      <c r="I43" s="52">
        <v>55000</v>
      </c>
      <c r="J43" s="54">
        <v>4000</v>
      </c>
      <c r="K43" s="52"/>
      <c r="L43" s="55">
        <v>7.2727272727272724E-2</v>
      </c>
      <c r="M43" s="52">
        <v>59000</v>
      </c>
      <c r="N43" s="5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s="32" customFormat="1" x14ac:dyDescent="0.25">
      <c r="A44" s="48"/>
      <c r="B44" s="48">
        <v>20122009</v>
      </c>
      <c r="C44" s="48" t="s">
        <v>77</v>
      </c>
      <c r="D44" s="48"/>
      <c r="E44" s="52" t="s">
        <v>175</v>
      </c>
      <c r="F44" s="52" t="s">
        <v>7</v>
      </c>
      <c r="G44" s="52" t="s">
        <v>19</v>
      </c>
      <c r="H44" s="52" t="s">
        <v>6</v>
      </c>
      <c r="I44" s="52">
        <v>35000</v>
      </c>
      <c r="J44" s="54">
        <v>6000</v>
      </c>
      <c r="K44" s="52"/>
      <c r="L44" s="55">
        <v>0.17142857142857143</v>
      </c>
      <c r="M44" s="52">
        <v>41000</v>
      </c>
      <c r="N44" s="52" t="s">
        <v>275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s="32" customFormat="1" x14ac:dyDescent="0.25">
      <c r="A45" s="48"/>
      <c r="B45" s="48">
        <v>21142017</v>
      </c>
      <c r="C45" s="48" t="s">
        <v>78</v>
      </c>
      <c r="D45" s="48"/>
      <c r="E45" s="52" t="s">
        <v>175</v>
      </c>
      <c r="F45" s="52" t="s">
        <v>7</v>
      </c>
      <c r="G45" s="52" t="s">
        <v>19</v>
      </c>
      <c r="H45" s="52" t="s">
        <v>6</v>
      </c>
      <c r="I45" s="52">
        <v>22000</v>
      </c>
      <c r="J45" s="54">
        <v>5000</v>
      </c>
      <c r="K45" s="52"/>
      <c r="L45" s="55">
        <v>0.22727272727272727</v>
      </c>
      <c r="M45" s="52">
        <v>27000</v>
      </c>
      <c r="N45" s="5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s="32" customFormat="1" x14ac:dyDescent="0.25">
      <c r="A46" s="48"/>
      <c r="B46" s="48">
        <v>10542014</v>
      </c>
      <c r="C46" s="48" t="s">
        <v>79</v>
      </c>
      <c r="D46" s="48"/>
      <c r="E46" s="52" t="s">
        <v>175</v>
      </c>
      <c r="F46" s="52" t="s">
        <v>7</v>
      </c>
      <c r="G46" s="52" t="s">
        <v>19</v>
      </c>
      <c r="H46" s="52" t="s">
        <v>3</v>
      </c>
      <c r="I46" s="52">
        <v>25000</v>
      </c>
      <c r="J46" s="54">
        <v>4000</v>
      </c>
      <c r="K46" s="52"/>
      <c r="L46" s="55">
        <v>0.16</v>
      </c>
      <c r="M46" s="52">
        <v>29000</v>
      </c>
      <c r="N46" s="5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s="32" customFormat="1" x14ac:dyDescent="0.25">
      <c r="A47" s="48"/>
      <c r="B47" s="48">
        <v>10192011</v>
      </c>
      <c r="C47" s="48" t="s">
        <v>80</v>
      </c>
      <c r="D47" s="48"/>
      <c r="E47" s="52" t="s">
        <v>175</v>
      </c>
      <c r="F47" s="52" t="s">
        <v>7</v>
      </c>
      <c r="G47" s="52" t="s">
        <v>19</v>
      </c>
      <c r="H47" s="52" t="s">
        <v>6</v>
      </c>
      <c r="I47" s="52">
        <v>27000</v>
      </c>
      <c r="J47" s="54">
        <v>5000</v>
      </c>
      <c r="K47" s="52"/>
      <c r="L47" s="55">
        <v>0.18518518518518517</v>
      </c>
      <c r="M47" s="52">
        <v>32000</v>
      </c>
      <c r="N47" s="5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s="32" customFormat="1" x14ac:dyDescent="0.25">
      <c r="A48" s="48"/>
      <c r="B48" s="48">
        <v>20062000</v>
      </c>
      <c r="C48" s="48" t="s">
        <v>81</v>
      </c>
      <c r="D48" s="48"/>
      <c r="E48" s="52" t="s">
        <v>175</v>
      </c>
      <c r="F48" s="52" t="s">
        <v>7</v>
      </c>
      <c r="G48" s="52" t="s">
        <v>19</v>
      </c>
      <c r="H48" s="52" t="s">
        <v>139</v>
      </c>
      <c r="I48" s="52">
        <v>63000</v>
      </c>
      <c r="J48" s="54">
        <v>5000</v>
      </c>
      <c r="K48" s="52"/>
      <c r="L48" s="55">
        <v>7.9365079365079361E-2</v>
      </c>
      <c r="M48" s="52">
        <v>68000</v>
      </c>
      <c r="N48" s="5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s="32" customFormat="1" x14ac:dyDescent="0.25">
      <c r="A49" s="48"/>
      <c r="B49" s="48">
        <v>10112004</v>
      </c>
      <c r="C49" s="48" t="s">
        <v>148</v>
      </c>
      <c r="D49" s="48"/>
      <c r="E49" s="52" t="s">
        <v>175</v>
      </c>
      <c r="F49" s="52" t="s">
        <v>7</v>
      </c>
      <c r="G49" s="52" t="s">
        <v>19</v>
      </c>
      <c r="H49" s="52" t="s">
        <v>3</v>
      </c>
      <c r="I49" s="52">
        <v>35000</v>
      </c>
      <c r="J49" s="54">
        <v>5000</v>
      </c>
      <c r="K49" s="52"/>
      <c r="L49" s="55">
        <v>0.14285714285714285</v>
      </c>
      <c r="M49" s="52">
        <v>40000</v>
      </c>
      <c r="N49" s="5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s="32" customFormat="1" x14ac:dyDescent="0.25">
      <c r="A50" s="48"/>
      <c r="B50" s="48">
        <v>20172012</v>
      </c>
      <c r="C50" s="48" t="s">
        <v>82</v>
      </c>
      <c r="D50" s="48"/>
      <c r="E50" s="52" t="s">
        <v>175</v>
      </c>
      <c r="F50" s="52" t="s">
        <v>7</v>
      </c>
      <c r="G50" s="52" t="s">
        <v>195</v>
      </c>
      <c r="H50" s="52" t="s">
        <v>3</v>
      </c>
      <c r="I50" s="52">
        <v>26000</v>
      </c>
      <c r="J50" s="54">
        <v>4000</v>
      </c>
      <c r="K50" s="52"/>
      <c r="L50" s="55">
        <v>0.15384615384615385</v>
      </c>
      <c r="M50" s="52">
        <v>30000</v>
      </c>
      <c r="N50" s="5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s="32" customFormat="1" x14ac:dyDescent="0.25">
      <c r="A51" s="48"/>
      <c r="B51" s="48">
        <v>21312018</v>
      </c>
      <c r="C51" s="48" t="s">
        <v>193</v>
      </c>
      <c r="D51" s="48"/>
      <c r="E51" s="52" t="s">
        <v>175</v>
      </c>
      <c r="F51" s="52" t="s">
        <v>7</v>
      </c>
      <c r="G51" s="52" t="s">
        <v>19</v>
      </c>
      <c r="H51" s="52" t="s">
        <v>9</v>
      </c>
      <c r="I51" s="52">
        <v>14000</v>
      </c>
      <c r="J51" s="54">
        <v>6000</v>
      </c>
      <c r="K51" s="52"/>
      <c r="L51" s="55">
        <v>0.42857142857142855</v>
      </c>
      <c r="M51" s="52">
        <v>20000</v>
      </c>
      <c r="N51" s="5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s="32" customFormat="1" x14ac:dyDescent="0.25">
      <c r="A52" s="48"/>
      <c r="B52" s="48">
        <v>10202011</v>
      </c>
      <c r="C52" s="48" t="s">
        <v>149</v>
      </c>
      <c r="D52" s="48"/>
      <c r="E52" s="52" t="s">
        <v>175</v>
      </c>
      <c r="F52" s="52" t="s">
        <v>7</v>
      </c>
      <c r="G52" s="52" t="s">
        <v>19</v>
      </c>
      <c r="H52" s="52" t="s">
        <v>3</v>
      </c>
      <c r="I52" s="52">
        <v>22000</v>
      </c>
      <c r="J52" s="54">
        <v>3000</v>
      </c>
      <c r="K52" s="52"/>
      <c r="L52" s="55">
        <v>0.13636363636363635</v>
      </c>
      <c r="M52" s="52">
        <v>25000</v>
      </c>
      <c r="N52" s="5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s="32" customFormat="1" x14ac:dyDescent="0.25">
      <c r="A53" s="48"/>
      <c r="B53" s="48">
        <v>10212011</v>
      </c>
      <c r="C53" s="48" t="s">
        <v>84</v>
      </c>
      <c r="D53" s="48"/>
      <c r="E53" s="52" t="s">
        <v>175</v>
      </c>
      <c r="F53" s="52" t="s">
        <v>7</v>
      </c>
      <c r="G53" s="52" t="s">
        <v>19</v>
      </c>
      <c r="H53" s="52" t="s">
        <v>9</v>
      </c>
      <c r="I53" s="52">
        <v>22000</v>
      </c>
      <c r="J53" s="54">
        <v>5000</v>
      </c>
      <c r="K53" s="52"/>
      <c r="L53" s="55">
        <v>0.22727272727272727</v>
      </c>
      <c r="M53" s="52">
        <v>27000</v>
      </c>
      <c r="N53" s="5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s="32" customFormat="1" x14ac:dyDescent="0.25">
      <c r="A54" s="48"/>
      <c r="B54" s="48">
        <v>10222012</v>
      </c>
      <c r="C54" s="48" t="s">
        <v>297</v>
      </c>
      <c r="D54" s="48"/>
      <c r="E54" s="52" t="s">
        <v>175</v>
      </c>
      <c r="F54" s="52" t="s">
        <v>7</v>
      </c>
      <c r="G54" s="52" t="s">
        <v>188</v>
      </c>
      <c r="H54" s="52" t="s">
        <v>9</v>
      </c>
      <c r="I54" s="52">
        <v>22000</v>
      </c>
      <c r="J54" s="54">
        <v>8000</v>
      </c>
      <c r="K54" s="52"/>
      <c r="L54" s="55">
        <v>0.36363636363636365</v>
      </c>
      <c r="M54" s="52">
        <v>30000</v>
      </c>
      <c r="N54" s="5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s="32" customFormat="1" x14ac:dyDescent="0.25">
      <c r="A55" s="48"/>
      <c r="B55" s="48">
        <v>10522014</v>
      </c>
      <c r="C55" s="48" t="s">
        <v>85</v>
      </c>
      <c r="D55" s="48"/>
      <c r="E55" s="52" t="s">
        <v>175</v>
      </c>
      <c r="F55" s="52" t="s">
        <v>7</v>
      </c>
      <c r="G55" s="52" t="s">
        <v>19</v>
      </c>
      <c r="H55" s="52" t="s">
        <v>9</v>
      </c>
      <c r="I55" s="52">
        <v>20000</v>
      </c>
      <c r="J55" s="54">
        <v>3000</v>
      </c>
      <c r="K55" s="52"/>
      <c r="L55" s="55">
        <v>0.15</v>
      </c>
      <c r="M55" s="52">
        <v>23000</v>
      </c>
      <c r="N55" s="5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s="32" customFormat="1" x14ac:dyDescent="0.25">
      <c r="A56" s="48"/>
      <c r="B56" s="48">
        <v>20892017</v>
      </c>
      <c r="C56" s="48" t="s">
        <v>86</v>
      </c>
      <c r="D56" s="48"/>
      <c r="E56" s="52" t="s">
        <v>175</v>
      </c>
      <c r="F56" s="52" t="s">
        <v>7</v>
      </c>
      <c r="G56" s="52" t="s">
        <v>19</v>
      </c>
      <c r="H56" s="52" t="s">
        <v>35</v>
      </c>
      <c r="I56" s="52">
        <v>15000</v>
      </c>
      <c r="J56" s="54">
        <v>5000</v>
      </c>
      <c r="K56" s="52"/>
      <c r="L56" s="55">
        <v>0.33333333333333331</v>
      </c>
      <c r="M56" s="52">
        <v>20000</v>
      </c>
      <c r="N56" s="5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s="32" customFormat="1" x14ac:dyDescent="0.25">
      <c r="A57" s="48"/>
      <c r="B57" s="48">
        <v>10602007</v>
      </c>
      <c r="C57" s="48" t="s">
        <v>87</v>
      </c>
      <c r="D57" s="48"/>
      <c r="E57" s="52" t="s">
        <v>175</v>
      </c>
      <c r="F57" s="52" t="s">
        <v>7</v>
      </c>
      <c r="G57" s="52" t="s">
        <v>19</v>
      </c>
      <c r="H57" s="52" t="s">
        <v>9</v>
      </c>
      <c r="I57" s="52">
        <v>18000</v>
      </c>
      <c r="J57" s="54">
        <v>4000</v>
      </c>
      <c r="K57" s="52"/>
      <c r="L57" s="55">
        <v>0.22222222222222221</v>
      </c>
      <c r="M57" s="52">
        <v>22000</v>
      </c>
      <c r="N57" s="5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s="32" customFormat="1" x14ac:dyDescent="0.25">
      <c r="A58" s="48"/>
      <c r="B58" s="48">
        <v>10022004</v>
      </c>
      <c r="C58" s="48" t="s">
        <v>89</v>
      </c>
      <c r="D58" s="48"/>
      <c r="E58" s="52" t="s">
        <v>175</v>
      </c>
      <c r="F58" s="52" t="s">
        <v>7</v>
      </c>
      <c r="G58" s="52" t="s">
        <v>19</v>
      </c>
      <c r="H58" s="52" t="s">
        <v>151</v>
      </c>
      <c r="I58" s="52">
        <v>175000</v>
      </c>
      <c r="J58" s="54">
        <v>0</v>
      </c>
      <c r="K58" s="52"/>
      <c r="L58" s="55">
        <v>0</v>
      </c>
      <c r="M58" s="52">
        <v>175000</v>
      </c>
      <c r="N58" s="5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s="32" customFormat="1" x14ac:dyDescent="0.25">
      <c r="A59" s="48"/>
      <c r="B59" s="48">
        <v>20142012</v>
      </c>
      <c r="C59" s="48" t="s">
        <v>91</v>
      </c>
      <c r="D59" s="48"/>
      <c r="E59" s="52" t="s">
        <v>175</v>
      </c>
      <c r="F59" s="52" t="s">
        <v>7</v>
      </c>
      <c r="G59" s="52" t="s">
        <v>19</v>
      </c>
      <c r="H59" s="52" t="s">
        <v>3</v>
      </c>
      <c r="I59" s="52">
        <v>35000</v>
      </c>
      <c r="J59" s="54">
        <v>7000</v>
      </c>
      <c r="K59" s="52"/>
      <c r="L59" s="55">
        <v>0.2</v>
      </c>
      <c r="M59" s="52">
        <v>42000</v>
      </c>
      <c r="N59" s="5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s="32" customFormat="1" x14ac:dyDescent="0.25">
      <c r="A60" s="48"/>
      <c r="B60" s="48">
        <v>21162017</v>
      </c>
      <c r="C60" s="48" t="s">
        <v>92</v>
      </c>
      <c r="D60" s="48"/>
      <c r="E60" s="52" t="s">
        <v>175</v>
      </c>
      <c r="F60" s="52" t="s">
        <v>7</v>
      </c>
      <c r="G60" s="52" t="s">
        <v>19</v>
      </c>
      <c r="H60" s="52" t="s">
        <v>8</v>
      </c>
      <c r="I60" s="52">
        <v>25000</v>
      </c>
      <c r="J60" s="54">
        <v>5000</v>
      </c>
      <c r="K60" s="52"/>
      <c r="L60" s="55">
        <v>0.2</v>
      </c>
      <c r="M60" s="52">
        <v>30000</v>
      </c>
      <c r="N60" s="5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s="32" customFormat="1" x14ac:dyDescent="0.25">
      <c r="A61" s="48"/>
      <c r="B61" s="48">
        <v>20762016</v>
      </c>
      <c r="C61" s="48" t="s">
        <v>150</v>
      </c>
      <c r="D61" s="48"/>
      <c r="E61" s="52" t="s">
        <v>175</v>
      </c>
      <c r="F61" s="52" t="s">
        <v>7</v>
      </c>
      <c r="G61" s="52" t="s">
        <v>19</v>
      </c>
      <c r="H61" s="52" t="s">
        <v>6</v>
      </c>
      <c r="I61" s="52">
        <v>25000</v>
      </c>
      <c r="J61" s="54">
        <v>7000</v>
      </c>
      <c r="K61" s="52"/>
      <c r="L61" s="55">
        <v>0.28000000000000003</v>
      </c>
      <c r="M61" s="52">
        <v>32000</v>
      </c>
      <c r="N61" s="5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s="32" customFormat="1" x14ac:dyDescent="0.25">
      <c r="A62" s="48"/>
      <c r="B62" s="48">
        <v>11262018</v>
      </c>
      <c r="C62" s="48" t="s">
        <v>186</v>
      </c>
      <c r="D62" s="48"/>
      <c r="E62" s="52" t="s">
        <v>175</v>
      </c>
      <c r="F62" s="52" t="s">
        <v>7</v>
      </c>
      <c r="G62" s="52" t="s">
        <v>19</v>
      </c>
      <c r="H62" s="52" t="s">
        <v>8</v>
      </c>
      <c r="I62" s="52">
        <v>15000</v>
      </c>
      <c r="J62" s="54">
        <v>5000</v>
      </c>
      <c r="K62" s="52"/>
      <c r="L62" s="55">
        <v>0.33333333333333331</v>
      </c>
      <c r="M62" s="52">
        <v>20000</v>
      </c>
      <c r="N62" s="5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s="32" customFormat="1" x14ac:dyDescent="0.25">
      <c r="A63" s="48"/>
      <c r="B63" s="48">
        <v>11132018</v>
      </c>
      <c r="C63" s="48" t="s">
        <v>185</v>
      </c>
      <c r="D63" s="48"/>
      <c r="E63" s="52" t="s">
        <v>175</v>
      </c>
      <c r="F63" s="52" t="s">
        <v>7</v>
      </c>
      <c r="G63" s="52" t="s">
        <v>19</v>
      </c>
      <c r="H63" s="52" t="s">
        <v>4</v>
      </c>
      <c r="I63" s="52">
        <v>35000</v>
      </c>
      <c r="J63" s="54">
        <v>4000</v>
      </c>
      <c r="K63" s="52"/>
      <c r="L63" s="55">
        <v>0.11428571428571428</v>
      </c>
      <c r="M63" s="52">
        <v>39000</v>
      </c>
      <c r="N63" s="5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s="32" customFormat="1" x14ac:dyDescent="0.25">
      <c r="A64" s="48"/>
      <c r="B64" s="48">
        <v>10182011</v>
      </c>
      <c r="C64" s="48" t="s">
        <v>152</v>
      </c>
      <c r="D64" s="48"/>
      <c r="E64" s="52" t="s">
        <v>175</v>
      </c>
      <c r="F64" s="52" t="s">
        <v>7</v>
      </c>
      <c r="G64" s="52" t="s">
        <v>131</v>
      </c>
      <c r="H64" s="52" t="s">
        <v>9</v>
      </c>
      <c r="I64" s="52">
        <v>34000</v>
      </c>
      <c r="J64" s="54">
        <v>6000</v>
      </c>
      <c r="K64" s="52"/>
      <c r="L64" s="55">
        <v>0.17647058823529413</v>
      </c>
      <c r="M64" s="52">
        <v>40000</v>
      </c>
      <c r="N64" s="5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s="32" customFormat="1" x14ac:dyDescent="0.25">
      <c r="A65" s="48"/>
      <c r="B65" s="48">
        <v>10152009</v>
      </c>
      <c r="C65" s="48" t="s">
        <v>93</v>
      </c>
      <c r="D65" s="48"/>
      <c r="E65" s="52" t="s">
        <v>175</v>
      </c>
      <c r="F65" s="52" t="s">
        <v>7</v>
      </c>
      <c r="G65" s="52" t="s">
        <v>19</v>
      </c>
      <c r="H65" s="52" t="s">
        <v>9</v>
      </c>
      <c r="I65" s="52">
        <v>29000</v>
      </c>
      <c r="J65" s="54">
        <v>6000</v>
      </c>
      <c r="K65" s="52"/>
      <c r="L65" s="55">
        <v>0.20689655172413793</v>
      </c>
      <c r="M65" s="52">
        <v>35000</v>
      </c>
      <c r="N65" s="5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s="32" customFormat="1" x14ac:dyDescent="0.25">
      <c r="A66" s="48"/>
      <c r="B66" s="48">
        <v>20162010</v>
      </c>
      <c r="C66" s="48" t="s">
        <v>94</v>
      </c>
      <c r="D66" s="48"/>
      <c r="E66" s="52" t="s">
        <v>175</v>
      </c>
      <c r="F66" s="52" t="s">
        <v>7</v>
      </c>
      <c r="G66" s="52" t="s">
        <v>19</v>
      </c>
      <c r="H66" s="52" t="s">
        <v>3</v>
      </c>
      <c r="I66" s="52">
        <v>31000</v>
      </c>
      <c r="J66" s="54">
        <v>5000</v>
      </c>
      <c r="K66" s="52"/>
      <c r="L66" s="55">
        <v>0.16129032258064516</v>
      </c>
      <c r="M66" s="52">
        <v>36000</v>
      </c>
      <c r="N66" s="5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s="32" customFormat="1" x14ac:dyDescent="0.25">
      <c r="A67" s="48"/>
      <c r="B67" s="48">
        <v>20822016</v>
      </c>
      <c r="C67" s="48" t="s">
        <v>95</v>
      </c>
      <c r="D67" s="48"/>
      <c r="E67" s="52" t="s">
        <v>175</v>
      </c>
      <c r="F67" s="52" t="s">
        <v>7</v>
      </c>
      <c r="G67" s="52" t="s">
        <v>19</v>
      </c>
      <c r="H67" s="52" t="s">
        <v>6</v>
      </c>
      <c r="I67" s="52">
        <v>17000</v>
      </c>
      <c r="J67" s="54">
        <v>5000</v>
      </c>
      <c r="K67" s="52"/>
      <c r="L67" s="55">
        <v>0.29411764705882354</v>
      </c>
      <c r="M67" s="52">
        <v>22000</v>
      </c>
      <c r="N67" s="5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s="32" customFormat="1" x14ac:dyDescent="0.25">
      <c r="A68" s="48"/>
      <c r="B68" s="48">
        <v>21222018</v>
      </c>
      <c r="C68" s="48" t="s">
        <v>96</v>
      </c>
      <c r="D68" s="48"/>
      <c r="E68" s="52" t="s">
        <v>175</v>
      </c>
      <c r="F68" s="52" t="s">
        <v>7</v>
      </c>
      <c r="G68" s="52" t="s">
        <v>19</v>
      </c>
      <c r="H68" s="52" t="s">
        <v>8</v>
      </c>
      <c r="I68" s="52">
        <v>23000</v>
      </c>
      <c r="J68" s="54">
        <v>5000</v>
      </c>
      <c r="K68" s="52"/>
      <c r="L68" s="55">
        <v>0.21739130434782608</v>
      </c>
      <c r="M68" s="52">
        <v>28000</v>
      </c>
      <c r="N68" s="5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s="32" customFormat="1" x14ac:dyDescent="0.25">
      <c r="A69" s="48"/>
      <c r="B69" s="48">
        <v>21282018</v>
      </c>
      <c r="C69" s="48" t="s">
        <v>97</v>
      </c>
      <c r="D69" s="48"/>
      <c r="E69" s="52" t="s">
        <v>175</v>
      </c>
      <c r="F69" s="52" t="s">
        <v>7</v>
      </c>
      <c r="G69" s="52" t="s">
        <v>19</v>
      </c>
      <c r="H69" s="52" t="s">
        <v>8</v>
      </c>
      <c r="I69" s="52">
        <v>18000</v>
      </c>
      <c r="J69" s="54">
        <v>7000</v>
      </c>
      <c r="K69" s="52"/>
      <c r="L69" s="55">
        <v>0.3888888888888889</v>
      </c>
      <c r="M69" s="52">
        <v>25000</v>
      </c>
      <c r="N69" s="5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s="32" customFormat="1" x14ac:dyDescent="0.25">
      <c r="A70" s="48"/>
      <c r="B70" s="48">
        <v>20462013</v>
      </c>
      <c r="C70" s="48" t="s">
        <v>98</v>
      </c>
      <c r="D70" s="48"/>
      <c r="E70" s="52" t="s">
        <v>175</v>
      </c>
      <c r="F70" s="52" t="s">
        <v>7</v>
      </c>
      <c r="G70" s="52" t="s">
        <v>19</v>
      </c>
      <c r="H70" s="52" t="s">
        <v>9</v>
      </c>
      <c r="I70" s="52">
        <v>20000</v>
      </c>
      <c r="J70" s="54">
        <v>4000</v>
      </c>
      <c r="K70" s="52"/>
      <c r="L70" s="55">
        <v>0.2</v>
      </c>
      <c r="M70" s="52">
        <v>24000</v>
      </c>
      <c r="N70" s="5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s="32" customFormat="1" x14ac:dyDescent="0.25">
      <c r="A71" s="48"/>
      <c r="B71" s="48">
        <v>10412012</v>
      </c>
      <c r="C71" s="48" t="s">
        <v>99</v>
      </c>
      <c r="D71" s="48"/>
      <c r="E71" s="52" t="s">
        <v>175</v>
      </c>
      <c r="F71" s="52" t="s">
        <v>7</v>
      </c>
      <c r="G71" s="52" t="s">
        <v>19</v>
      </c>
      <c r="H71" s="52" t="s">
        <v>9</v>
      </c>
      <c r="I71" s="52">
        <v>21000</v>
      </c>
      <c r="J71" s="54">
        <v>4000</v>
      </c>
      <c r="K71" s="52"/>
      <c r="L71" s="55">
        <v>0.19047619047619047</v>
      </c>
      <c r="M71" s="52">
        <v>25000</v>
      </c>
      <c r="N71" s="5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s="32" customFormat="1" x14ac:dyDescent="0.25">
      <c r="A72" s="48"/>
      <c r="B72" s="48">
        <v>11042018</v>
      </c>
      <c r="C72" s="48" t="s">
        <v>187</v>
      </c>
      <c r="D72" s="48"/>
      <c r="E72" s="52" t="s">
        <v>175</v>
      </c>
      <c r="F72" s="52" t="s">
        <v>7</v>
      </c>
      <c r="G72" s="52" t="s">
        <v>19</v>
      </c>
      <c r="H72" s="52" t="s">
        <v>130</v>
      </c>
      <c r="I72" s="52">
        <v>70000</v>
      </c>
      <c r="J72" s="54">
        <v>5000</v>
      </c>
      <c r="K72" s="52"/>
      <c r="L72" s="55">
        <v>7.1428571428571425E-2</v>
      </c>
      <c r="M72" s="52">
        <v>75000</v>
      </c>
      <c r="N72" s="5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s="32" customFormat="1" x14ac:dyDescent="0.25">
      <c r="A73" s="48"/>
      <c r="B73" s="48">
        <v>11122018</v>
      </c>
      <c r="C73" s="48" t="s">
        <v>189</v>
      </c>
      <c r="D73" s="48"/>
      <c r="E73" s="52" t="s">
        <v>175</v>
      </c>
      <c r="F73" s="52" t="s">
        <v>7</v>
      </c>
      <c r="G73" s="52" t="s">
        <v>19</v>
      </c>
      <c r="H73" s="52" t="s">
        <v>8</v>
      </c>
      <c r="I73" s="52">
        <v>18000</v>
      </c>
      <c r="J73" s="54">
        <v>4000</v>
      </c>
      <c r="K73" s="52"/>
      <c r="L73" s="55">
        <v>0.22222222222222221</v>
      </c>
      <c r="M73" s="52">
        <v>22000</v>
      </c>
      <c r="N73" s="5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s="32" customFormat="1" x14ac:dyDescent="0.25">
      <c r="A74" s="48"/>
      <c r="B74" s="48">
        <v>11252018</v>
      </c>
      <c r="C74" s="48" t="s">
        <v>190</v>
      </c>
      <c r="D74" s="48"/>
      <c r="E74" s="52" t="s">
        <v>175</v>
      </c>
      <c r="F74" s="52" t="s">
        <v>7</v>
      </c>
      <c r="G74" s="52" t="s">
        <v>19</v>
      </c>
      <c r="H74" s="52" t="s">
        <v>8</v>
      </c>
      <c r="I74" s="52">
        <v>15000</v>
      </c>
      <c r="J74" s="54">
        <v>5000</v>
      </c>
      <c r="K74" s="52"/>
      <c r="L74" s="55">
        <v>0.33333333333333331</v>
      </c>
      <c r="M74" s="52">
        <v>20000</v>
      </c>
      <c r="N74" s="5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s="32" customFormat="1" x14ac:dyDescent="0.25">
      <c r="A75" s="48"/>
      <c r="B75" s="48">
        <v>10081999</v>
      </c>
      <c r="C75" s="48" t="s">
        <v>101</v>
      </c>
      <c r="D75" s="48"/>
      <c r="E75" s="52" t="s">
        <v>175</v>
      </c>
      <c r="F75" s="52" t="s">
        <v>7</v>
      </c>
      <c r="G75" s="52" t="s">
        <v>276</v>
      </c>
      <c r="H75" s="52" t="s">
        <v>9</v>
      </c>
      <c r="I75" s="52">
        <v>52000</v>
      </c>
      <c r="J75" s="54">
        <v>3000</v>
      </c>
      <c r="K75" s="52"/>
      <c r="L75" s="55">
        <v>5.7692307692307696E-2</v>
      </c>
      <c r="M75" s="52">
        <v>55000</v>
      </c>
      <c r="N75" s="5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s="32" customFormat="1" x14ac:dyDescent="0.25">
      <c r="A76" s="48"/>
      <c r="B76" s="48">
        <v>20912016</v>
      </c>
      <c r="C76" s="48" t="s">
        <v>102</v>
      </c>
      <c r="D76" s="48"/>
      <c r="E76" s="52" t="s">
        <v>175</v>
      </c>
      <c r="F76" s="52" t="s">
        <v>7</v>
      </c>
      <c r="G76" s="52" t="s">
        <v>276</v>
      </c>
      <c r="H76" s="52" t="s">
        <v>3</v>
      </c>
      <c r="I76" s="52">
        <v>35000</v>
      </c>
      <c r="J76" s="54">
        <v>7000</v>
      </c>
      <c r="K76" s="52"/>
      <c r="L76" s="55">
        <v>0.2</v>
      </c>
      <c r="M76" s="52">
        <v>42000</v>
      </c>
      <c r="N76" s="5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s="32" customFormat="1" x14ac:dyDescent="0.25">
      <c r="A77" s="48"/>
      <c r="B77" s="48">
        <v>11242018</v>
      </c>
      <c r="C77" s="48" t="s">
        <v>196</v>
      </c>
      <c r="D77" s="48"/>
      <c r="E77" s="52" t="s">
        <v>175</v>
      </c>
      <c r="F77" s="52" t="s">
        <v>7</v>
      </c>
      <c r="G77" s="52" t="s">
        <v>195</v>
      </c>
      <c r="H77" s="52" t="s">
        <v>184</v>
      </c>
      <c r="I77" s="52">
        <v>40000</v>
      </c>
      <c r="J77" s="54">
        <v>0</v>
      </c>
      <c r="K77" s="52"/>
      <c r="L77" s="55">
        <v>0</v>
      </c>
      <c r="M77" s="52">
        <v>40000</v>
      </c>
      <c r="N77" s="5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s="32" customFormat="1" x14ac:dyDescent="0.25">
      <c r="A78" s="48"/>
      <c r="B78" s="48">
        <v>10172019</v>
      </c>
      <c r="C78" s="48" t="s">
        <v>24</v>
      </c>
      <c r="D78" s="48"/>
      <c r="E78" s="52" t="s">
        <v>175</v>
      </c>
      <c r="F78" s="52" t="s">
        <v>7</v>
      </c>
      <c r="G78" s="52" t="s">
        <v>20</v>
      </c>
      <c r="H78" s="52" t="s">
        <v>9</v>
      </c>
      <c r="I78" s="52">
        <v>37000</v>
      </c>
      <c r="J78" s="54">
        <v>3000</v>
      </c>
      <c r="K78" s="52"/>
      <c r="L78" s="55">
        <v>8.1081081081081086E-2</v>
      </c>
      <c r="M78" s="52">
        <v>40000</v>
      </c>
      <c r="N78" s="5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s="32" customFormat="1" x14ac:dyDescent="0.25">
      <c r="A79" s="48"/>
      <c r="B79" s="48">
        <v>20862017</v>
      </c>
      <c r="C79" s="48" t="s">
        <v>103</v>
      </c>
      <c r="D79" s="48"/>
      <c r="E79" s="52" t="s">
        <v>175</v>
      </c>
      <c r="F79" s="52" t="s">
        <v>7</v>
      </c>
      <c r="G79" s="52" t="s">
        <v>20</v>
      </c>
      <c r="H79" s="52" t="s">
        <v>9</v>
      </c>
      <c r="I79" s="52">
        <v>18000</v>
      </c>
      <c r="J79" s="54">
        <v>6000</v>
      </c>
      <c r="K79" s="52"/>
      <c r="L79" s="55">
        <v>0.33333333333333331</v>
      </c>
      <c r="M79" s="52">
        <v>24000</v>
      </c>
      <c r="N79" s="5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s="32" customFormat="1" x14ac:dyDescent="0.25">
      <c r="A80" s="48"/>
      <c r="B80" s="48">
        <v>21062016</v>
      </c>
      <c r="C80" s="48" t="s">
        <v>104</v>
      </c>
      <c r="D80" s="48"/>
      <c r="E80" s="52" t="s">
        <v>175</v>
      </c>
      <c r="F80" s="52" t="s">
        <v>7</v>
      </c>
      <c r="G80" s="52" t="s">
        <v>20</v>
      </c>
      <c r="H80" s="52" t="s">
        <v>26</v>
      </c>
      <c r="I80" s="52">
        <v>18000</v>
      </c>
      <c r="J80" s="54">
        <v>4000</v>
      </c>
      <c r="K80" s="52"/>
      <c r="L80" s="55">
        <v>0.22222222222222221</v>
      </c>
      <c r="M80" s="52">
        <v>22000</v>
      </c>
      <c r="N80" s="5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s="32" customFormat="1" x14ac:dyDescent="0.25">
      <c r="A81" s="48"/>
      <c r="B81" s="48">
        <v>11272018</v>
      </c>
      <c r="C81" s="48" t="s">
        <v>191</v>
      </c>
      <c r="D81" s="48"/>
      <c r="E81" s="52" t="s">
        <v>175</v>
      </c>
      <c r="F81" s="52" t="s">
        <v>7</v>
      </c>
      <c r="G81" s="52" t="s">
        <v>19</v>
      </c>
      <c r="H81" s="52" t="s">
        <v>192</v>
      </c>
      <c r="I81" s="52">
        <v>15000</v>
      </c>
      <c r="J81" s="54">
        <v>5000</v>
      </c>
      <c r="K81" s="52"/>
      <c r="L81" s="55">
        <v>0.33333333333333331</v>
      </c>
      <c r="M81" s="52">
        <v>20000</v>
      </c>
      <c r="N81" s="5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s="32" customFormat="1" x14ac:dyDescent="0.25">
      <c r="A82" s="48"/>
      <c r="B82" s="48">
        <v>21102017</v>
      </c>
      <c r="C82" s="48" t="s">
        <v>105</v>
      </c>
      <c r="D82" s="48"/>
      <c r="E82" s="52" t="s">
        <v>175</v>
      </c>
      <c r="F82" s="52" t="s">
        <v>7</v>
      </c>
      <c r="G82" s="52" t="s">
        <v>19</v>
      </c>
      <c r="H82" s="52" t="s">
        <v>9</v>
      </c>
      <c r="I82" s="52">
        <v>12000</v>
      </c>
      <c r="J82" s="54">
        <v>5000</v>
      </c>
      <c r="K82" s="52"/>
      <c r="L82" s="55">
        <v>0.41666666666666669</v>
      </c>
      <c r="M82" s="52">
        <v>17000</v>
      </c>
      <c r="N82" s="5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s="32" customFormat="1" x14ac:dyDescent="0.25">
      <c r="A83" s="48"/>
      <c r="B83" s="48">
        <v>20402006</v>
      </c>
      <c r="C83" s="48" t="s">
        <v>106</v>
      </c>
      <c r="D83" s="48"/>
      <c r="E83" s="52" t="s">
        <v>175</v>
      </c>
      <c r="F83" s="52" t="s">
        <v>7</v>
      </c>
      <c r="G83" s="52" t="s">
        <v>20</v>
      </c>
      <c r="H83" s="52" t="s">
        <v>27</v>
      </c>
      <c r="I83" s="52">
        <v>16000</v>
      </c>
      <c r="J83" s="54">
        <v>2000</v>
      </c>
      <c r="K83" s="52"/>
      <c r="L83" s="55">
        <v>0.125</v>
      </c>
      <c r="M83" s="52">
        <v>18000</v>
      </c>
      <c r="N83" s="5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s="32" customFormat="1" x14ac:dyDescent="0.25">
      <c r="A84" s="48"/>
      <c r="B84" s="48">
        <v>10431999</v>
      </c>
      <c r="C84" s="48" t="s">
        <v>107</v>
      </c>
      <c r="D84" s="48"/>
      <c r="E84" s="52" t="s">
        <v>175</v>
      </c>
      <c r="F84" s="52" t="s">
        <v>7</v>
      </c>
      <c r="G84" s="52" t="s">
        <v>20</v>
      </c>
      <c r="H84" s="52" t="s">
        <v>28</v>
      </c>
      <c r="I84" s="52">
        <v>16000</v>
      </c>
      <c r="J84" s="54">
        <v>2000</v>
      </c>
      <c r="K84" s="52"/>
      <c r="L84" s="55">
        <v>0.125</v>
      </c>
      <c r="M84" s="52">
        <v>18000</v>
      </c>
      <c r="N84" s="5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s="32" customFormat="1" x14ac:dyDescent="0.25">
      <c r="A85" s="48"/>
      <c r="B85" s="48">
        <v>10632016</v>
      </c>
      <c r="C85" s="48" t="s">
        <v>108</v>
      </c>
      <c r="D85" s="48"/>
      <c r="E85" s="52" t="s">
        <v>175</v>
      </c>
      <c r="F85" s="52" t="s">
        <v>7</v>
      </c>
      <c r="G85" s="52" t="s">
        <v>20</v>
      </c>
      <c r="H85" s="52" t="s">
        <v>29</v>
      </c>
      <c r="I85" s="52">
        <v>13500</v>
      </c>
      <c r="J85" s="54">
        <v>1500</v>
      </c>
      <c r="K85" s="52"/>
      <c r="L85" s="55">
        <v>0.1111111111111111</v>
      </c>
      <c r="M85" s="52">
        <v>15000</v>
      </c>
      <c r="N85" s="5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s="32" customFormat="1" x14ac:dyDescent="0.25">
      <c r="A86" s="48"/>
      <c r="B86" s="48">
        <v>20420000</v>
      </c>
      <c r="C86" s="48" t="s">
        <v>109</v>
      </c>
      <c r="D86" s="48"/>
      <c r="E86" s="52" t="s">
        <v>175</v>
      </c>
      <c r="F86" s="52" t="s">
        <v>7</v>
      </c>
      <c r="G86" s="52" t="s">
        <v>20</v>
      </c>
      <c r="H86" s="52" t="s">
        <v>28</v>
      </c>
      <c r="I86" s="52">
        <v>14000</v>
      </c>
      <c r="J86" s="54">
        <v>2000</v>
      </c>
      <c r="K86" s="52"/>
      <c r="L86" s="55">
        <v>0.14285714285714285</v>
      </c>
      <c r="M86" s="52">
        <v>16000</v>
      </c>
      <c r="N86" s="5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s="32" customFormat="1" x14ac:dyDescent="0.25">
      <c r="A87" s="48"/>
      <c r="B87" s="48">
        <v>21082017</v>
      </c>
      <c r="C87" s="48" t="s">
        <v>113</v>
      </c>
      <c r="D87" s="48"/>
      <c r="E87" s="52" t="s">
        <v>175</v>
      </c>
      <c r="F87" s="52" t="s">
        <v>7</v>
      </c>
      <c r="G87" s="52" t="s">
        <v>20</v>
      </c>
      <c r="H87" s="52" t="s">
        <v>28</v>
      </c>
      <c r="I87" s="52">
        <v>11000</v>
      </c>
      <c r="J87" s="54">
        <v>2000</v>
      </c>
      <c r="K87" s="52"/>
      <c r="L87" s="55">
        <v>0.18181818181818182</v>
      </c>
      <c r="M87" s="52">
        <v>13000</v>
      </c>
      <c r="N87" s="5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s="32" customFormat="1" x14ac:dyDescent="0.25">
      <c r="A88" s="48"/>
      <c r="B88" s="48">
        <v>20872017</v>
      </c>
      <c r="C88" s="48" t="s">
        <v>115</v>
      </c>
      <c r="D88" s="48"/>
      <c r="E88" s="52" t="s">
        <v>175</v>
      </c>
      <c r="F88" s="52" t="s">
        <v>7</v>
      </c>
      <c r="G88" s="52" t="s">
        <v>20</v>
      </c>
      <c r="H88" s="52" t="s">
        <v>28</v>
      </c>
      <c r="I88" s="52">
        <v>11000</v>
      </c>
      <c r="J88" s="54">
        <v>2000</v>
      </c>
      <c r="K88" s="52"/>
      <c r="L88" s="55">
        <v>0.18181818181818182</v>
      </c>
      <c r="M88" s="52">
        <v>13000</v>
      </c>
      <c r="N88" s="5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s="32" customFormat="1" x14ac:dyDescent="0.25">
      <c r="A89" s="48"/>
      <c r="B89" s="48">
        <v>21292018</v>
      </c>
      <c r="C89" s="48" t="s">
        <v>116</v>
      </c>
      <c r="D89" s="48"/>
      <c r="E89" s="52" t="s">
        <v>175</v>
      </c>
      <c r="F89" s="52" t="s">
        <v>7</v>
      </c>
      <c r="G89" s="52" t="s">
        <v>20</v>
      </c>
      <c r="H89" s="52" t="s">
        <v>27</v>
      </c>
      <c r="I89" s="52">
        <v>10000</v>
      </c>
      <c r="J89" s="54">
        <v>3000</v>
      </c>
      <c r="K89" s="52"/>
      <c r="L89" s="55">
        <v>0.3</v>
      </c>
      <c r="M89" s="52">
        <v>13000</v>
      </c>
      <c r="N89" s="5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s="32" customFormat="1" x14ac:dyDescent="0.25">
      <c r="A90" s="48"/>
      <c r="B90" s="48">
        <v>20412000</v>
      </c>
      <c r="C90" s="48" t="s">
        <v>117</v>
      </c>
      <c r="D90" s="48"/>
      <c r="E90" s="52" t="s">
        <v>175</v>
      </c>
      <c r="F90" s="52" t="s">
        <v>7</v>
      </c>
      <c r="G90" s="52" t="s">
        <v>20</v>
      </c>
      <c r="H90" s="52" t="s">
        <v>30</v>
      </c>
      <c r="I90" s="52">
        <v>14000</v>
      </c>
      <c r="J90" s="54">
        <v>2000</v>
      </c>
      <c r="K90" s="52"/>
      <c r="L90" s="55">
        <v>0.14285714285714285</v>
      </c>
      <c r="M90" s="52">
        <v>16000</v>
      </c>
      <c r="N90" s="5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s="32" customFormat="1" x14ac:dyDescent="0.25">
      <c r="A91" s="48"/>
      <c r="B91" s="48">
        <v>20442006</v>
      </c>
      <c r="C91" s="48" t="s">
        <v>160</v>
      </c>
      <c r="D91" s="48"/>
      <c r="E91" s="52" t="s">
        <v>175</v>
      </c>
      <c r="F91" s="52" t="s">
        <v>7</v>
      </c>
      <c r="G91" s="52" t="s">
        <v>20</v>
      </c>
      <c r="H91" s="52" t="s">
        <v>30</v>
      </c>
      <c r="I91" s="52">
        <v>14000</v>
      </c>
      <c r="J91" s="54">
        <v>2000</v>
      </c>
      <c r="K91" s="52"/>
      <c r="L91" s="55">
        <v>0.14285714285714285</v>
      </c>
      <c r="M91" s="52">
        <v>16000</v>
      </c>
      <c r="N91" s="5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s="32" customFormat="1" x14ac:dyDescent="0.25">
      <c r="A92" s="48"/>
      <c r="B92" s="48">
        <v>21012017</v>
      </c>
      <c r="C92" s="48" t="s">
        <v>118</v>
      </c>
      <c r="D92" s="48"/>
      <c r="E92" s="52" t="s">
        <v>175</v>
      </c>
      <c r="F92" s="52" t="s">
        <v>7</v>
      </c>
      <c r="G92" s="52" t="s">
        <v>20</v>
      </c>
      <c r="H92" s="52" t="s">
        <v>207</v>
      </c>
      <c r="I92" s="52">
        <v>12000</v>
      </c>
      <c r="J92" s="54">
        <v>2000</v>
      </c>
      <c r="K92" s="52"/>
      <c r="L92" s="55">
        <v>0.16666666666666666</v>
      </c>
      <c r="M92" s="52">
        <v>14000</v>
      </c>
      <c r="N92" s="5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s="32" customFormat="1" x14ac:dyDescent="0.25">
      <c r="A93" s="48"/>
      <c r="B93" s="48">
        <v>21022017</v>
      </c>
      <c r="C93" s="48" t="s">
        <v>119</v>
      </c>
      <c r="D93" s="48"/>
      <c r="E93" s="52" t="s">
        <v>175</v>
      </c>
      <c r="F93" s="52" t="s">
        <v>7</v>
      </c>
      <c r="G93" s="52" t="s">
        <v>20</v>
      </c>
      <c r="H93" s="52" t="s">
        <v>28</v>
      </c>
      <c r="I93" s="52">
        <v>10000</v>
      </c>
      <c r="J93" s="54">
        <v>2000</v>
      </c>
      <c r="K93" s="52"/>
      <c r="L93" s="55">
        <v>0.2</v>
      </c>
      <c r="M93" s="52">
        <v>12000</v>
      </c>
      <c r="N93" s="5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s="32" customFormat="1" x14ac:dyDescent="0.25">
      <c r="A94" s="48"/>
      <c r="B94" s="48">
        <v>11052018</v>
      </c>
      <c r="C94" s="48" t="s">
        <v>197</v>
      </c>
      <c r="D94" s="48"/>
      <c r="E94" s="52" t="s">
        <v>175</v>
      </c>
      <c r="F94" s="52" t="s">
        <v>7</v>
      </c>
      <c r="G94" s="52" t="s">
        <v>20</v>
      </c>
      <c r="H94" s="52" t="s">
        <v>198</v>
      </c>
      <c r="I94" s="52">
        <v>40000</v>
      </c>
      <c r="J94" s="54">
        <v>5000</v>
      </c>
      <c r="K94" s="52"/>
      <c r="L94" s="55">
        <v>0.125</v>
      </c>
      <c r="M94" s="52">
        <v>45000</v>
      </c>
      <c r="N94" s="5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s="32" customFormat="1" x14ac:dyDescent="0.25">
      <c r="A95" s="48"/>
      <c r="B95" s="48">
        <v>11102018</v>
      </c>
      <c r="C95" s="48" t="s">
        <v>199</v>
      </c>
      <c r="D95" s="48"/>
      <c r="E95" s="52" t="s">
        <v>175</v>
      </c>
      <c r="F95" s="52" t="s">
        <v>7</v>
      </c>
      <c r="G95" s="52" t="s">
        <v>20</v>
      </c>
      <c r="H95" s="52" t="s">
        <v>4</v>
      </c>
      <c r="I95" s="52">
        <v>30000</v>
      </c>
      <c r="J95" s="54">
        <v>5000</v>
      </c>
      <c r="K95" s="52"/>
      <c r="L95" s="55">
        <v>0.16666666666666666</v>
      </c>
      <c r="M95" s="52">
        <v>35000</v>
      </c>
      <c r="N95" s="5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s="32" customFormat="1" x14ac:dyDescent="0.25">
      <c r="A96" s="48"/>
      <c r="B96" s="48">
        <v>11082018</v>
      </c>
      <c r="C96" s="48" t="s">
        <v>202</v>
      </c>
      <c r="D96" s="48"/>
      <c r="E96" s="52" t="s">
        <v>175</v>
      </c>
      <c r="F96" s="52" t="s">
        <v>7</v>
      </c>
      <c r="G96" s="52" t="s">
        <v>20</v>
      </c>
      <c r="H96" s="52" t="s">
        <v>203</v>
      </c>
      <c r="I96" s="52">
        <v>10000</v>
      </c>
      <c r="J96" s="54">
        <v>5000</v>
      </c>
      <c r="K96" s="52"/>
      <c r="L96" s="55">
        <v>0.5</v>
      </c>
      <c r="M96" s="52">
        <v>15000</v>
      </c>
      <c r="N96" s="5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s="32" customFormat="1" x14ac:dyDescent="0.25">
      <c r="A97" s="48"/>
      <c r="B97" s="48">
        <v>21422018</v>
      </c>
      <c r="C97" s="48" t="s">
        <v>204</v>
      </c>
      <c r="D97" s="48"/>
      <c r="E97" s="52" t="s">
        <v>175</v>
      </c>
      <c r="F97" s="52" t="s">
        <v>7</v>
      </c>
      <c r="G97" s="52" t="s">
        <v>20</v>
      </c>
      <c r="H97" s="52" t="s">
        <v>205</v>
      </c>
      <c r="I97" s="52">
        <v>14000</v>
      </c>
      <c r="J97" s="54">
        <v>2000</v>
      </c>
      <c r="K97" s="52"/>
      <c r="L97" s="55">
        <v>0.14285714285714285</v>
      </c>
      <c r="M97" s="52">
        <v>16000</v>
      </c>
      <c r="N97" s="5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32" customFormat="1" x14ac:dyDescent="0.25">
      <c r="A98" s="48"/>
      <c r="B98" s="48">
        <v>21392018</v>
      </c>
      <c r="C98" s="48" t="s">
        <v>57</v>
      </c>
      <c r="D98" s="48"/>
      <c r="E98" s="52" t="s">
        <v>175</v>
      </c>
      <c r="F98" s="52" t="s">
        <v>7</v>
      </c>
      <c r="G98" s="52" t="s">
        <v>20</v>
      </c>
      <c r="H98" s="52" t="s">
        <v>28</v>
      </c>
      <c r="I98" s="52">
        <v>10000</v>
      </c>
      <c r="J98" s="54">
        <v>4000</v>
      </c>
      <c r="K98" s="52"/>
      <c r="L98" s="55">
        <v>0.4</v>
      </c>
      <c r="M98" s="52">
        <v>14000</v>
      </c>
      <c r="N98" s="52" t="s">
        <v>257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32" customFormat="1" x14ac:dyDescent="0.25">
      <c r="A99" s="48"/>
      <c r="B99" s="48">
        <v>21382018</v>
      </c>
      <c r="C99" s="48" t="s">
        <v>206</v>
      </c>
      <c r="D99" s="48"/>
      <c r="E99" s="52" t="s">
        <v>175</v>
      </c>
      <c r="F99" s="52" t="s">
        <v>7</v>
      </c>
      <c r="G99" s="52" t="s">
        <v>20</v>
      </c>
      <c r="H99" s="52" t="s">
        <v>28</v>
      </c>
      <c r="I99" s="52">
        <v>10000</v>
      </c>
      <c r="J99" s="54">
        <v>2000</v>
      </c>
      <c r="K99" s="52"/>
      <c r="L99" s="55">
        <v>0.2</v>
      </c>
      <c r="M99" s="52">
        <v>12000</v>
      </c>
      <c r="N99" s="5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32" customFormat="1" x14ac:dyDescent="0.25">
      <c r="A100" s="48"/>
      <c r="B100" s="48">
        <v>21512019</v>
      </c>
      <c r="C100" s="48" t="s">
        <v>208</v>
      </c>
      <c r="D100" s="48"/>
      <c r="E100" s="52" t="s">
        <v>175</v>
      </c>
      <c r="F100" s="52" t="s">
        <v>7</v>
      </c>
      <c r="G100" s="52" t="s">
        <v>20</v>
      </c>
      <c r="H100" s="52" t="s">
        <v>207</v>
      </c>
      <c r="I100" s="52">
        <v>9000</v>
      </c>
      <c r="J100" s="54">
        <v>1000</v>
      </c>
      <c r="K100" s="52"/>
      <c r="L100" s="55">
        <v>0.1111111111111111</v>
      </c>
      <c r="M100" s="52">
        <v>10000</v>
      </c>
      <c r="N100" s="5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32" customFormat="1" x14ac:dyDescent="0.25">
      <c r="A101" s="48"/>
      <c r="B101" s="48">
        <v>21412018</v>
      </c>
      <c r="C101" s="48" t="s">
        <v>209</v>
      </c>
      <c r="D101" s="48"/>
      <c r="E101" s="52" t="s">
        <v>175</v>
      </c>
      <c r="F101" s="52" t="s">
        <v>7</v>
      </c>
      <c r="G101" s="52" t="s">
        <v>20</v>
      </c>
      <c r="H101" s="52" t="s">
        <v>207</v>
      </c>
      <c r="I101" s="52">
        <v>10000</v>
      </c>
      <c r="J101" s="54">
        <v>3000</v>
      </c>
      <c r="K101" s="52"/>
      <c r="L101" s="55">
        <v>0.3</v>
      </c>
      <c r="M101" s="52">
        <v>13000</v>
      </c>
      <c r="N101" s="5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32" customFormat="1" x14ac:dyDescent="0.25">
      <c r="A102" s="48"/>
      <c r="B102" s="48">
        <v>21252018</v>
      </c>
      <c r="C102" s="48" t="s">
        <v>210</v>
      </c>
      <c r="D102" s="48"/>
      <c r="E102" s="52" t="s">
        <v>175</v>
      </c>
      <c r="F102" s="52" t="s">
        <v>7</v>
      </c>
      <c r="G102" s="52" t="s">
        <v>211</v>
      </c>
      <c r="H102" s="52" t="s">
        <v>212</v>
      </c>
      <c r="I102" s="52">
        <v>18000</v>
      </c>
      <c r="J102" s="54">
        <v>1000</v>
      </c>
      <c r="K102" s="52"/>
      <c r="L102" s="55">
        <v>5.5555555555555552E-2</v>
      </c>
      <c r="M102" s="52">
        <v>19000</v>
      </c>
      <c r="N102" s="52" t="s">
        <v>213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32" customFormat="1" x14ac:dyDescent="0.25">
      <c r="A103" s="48"/>
      <c r="B103" s="48">
        <v>20522011</v>
      </c>
      <c r="C103" s="48" t="s">
        <v>214</v>
      </c>
      <c r="D103" s="48"/>
      <c r="E103" s="52" t="s">
        <v>175</v>
      </c>
      <c r="F103" s="52" t="s">
        <v>7</v>
      </c>
      <c r="G103" s="52" t="s">
        <v>211</v>
      </c>
      <c r="H103" s="52" t="s">
        <v>212</v>
      </c>
      <c r="I103" s="52">
        <v>17000</v>
      </c>
      <c r="J103" s="54">
        <v>2000</v>
      </c>
      <c r="K103" s="52"/>
      <c r="L103" s="55">
        <v>0.11764705882352941</v>
      </c>
      <c r="M103" s="52">
        <v>19000</v>
      </c>
      <c r="N103" s="52" t="s">
        <v>213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32" customFormat="1" x14ac:dyDescent="0.25">
      <c r="A104" s="48"/>
      <c r="B104" s="48">
        <v>21242018</v>
      </c>
      <c r="C104" s="48" t="s">
        <v>215</v>
      </c>
      <c r="D104" s="48"/>
      <c r="E104" s="52" t="s">
        <v>175</v>
      </c>
      <c r="F104" s="52" t="s">
        <v>7</v>
      </c>
      <c r="G104" s="52" t="s">
        <v>211</v>
      </c>
      <c r="H104" s="52" t="s">
        <v>212</v>
      </c>
      <c r="I104" s="52">
        <v>17000</v>
      </c>
      <c r="J104" s="54">
        <v>2000</v>
      </c>
      <c r="K104" s="52"/>
      <c r="L104" s="55">
        <v>0.11764705882352941</v>
      </c>
      <c r="M104" s="52">
        <v>19000</v>
      </c>
      <c r="N104" s="52" t="s">
        <v>213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32" customFormat="1" x14ac:dyDescent="0.25">
      <c r="A105" s="48"/>
      <c r="B105" s="48">
        <v>10612015</v>
      </c>
      <c r="C105" s="48" t="s">
        <v>216</v>
      </c>
      <c r="D105" s="48"/>
      <c r="E105" s="52" t="s">
        <v>175</v>
      </c>
      <c r="F105" s="52" t="s">
        <v>7</v>
      </c>
      <c r="G105" s="52" t="s">
        <v>211</v>
      </c>
      <c r="H105" s="52" t="s">
        <v>212</v>
      </c>
      <c r="I105" s="52">
        <v>17000</v>
      </c>
      <c r="J105" s="54">
        <v>2000</v>
      </c>
      <c r="K105" s="52"/>
      <c r="L105" s="55">
        <v>0.11764705882352941</v>
      </c>
      <c r="M105" s="52">
        <v>19000</v>
      </c>
      <c r="N105" s="52" t="s">
        <v>213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32" customFormat="1" x14ac:dyDescent="0.25">
      <c r="A106" s="48"/>
      <c r="B106" s="48">
        <v>11152018</v>
      </c>
      <c r="C106" s="48" t="s">
        <v>217</v>
      </c>
      <c r="D106" s="48"/>
      <c r="E106" s="52" t="s">
        <v>175</v>
      </c>
      <c r="F106" s="52" t="s">
        <v>7</v>
      </c>
      <c r="G106" s="52" t="s">
        <v>211</v>
      </c>
      <c r="H106" s="52" t="s">
        <v>212</v>
      </c>
      <c r="I106" s="52">
        <v>17000</v>
      </c>
      <c r="J106" s="54">
        <v>1000</v>
      </c>
      <c r="K106" s="52"/>
      <c r="L106" s="55">
        <v>5.8823529411764705E-2</v>
      </c>
      <c r="M106" s="52">
        <v>18000</v>
      </c>
      <c r="N106" s="52" t="s">
        <v>218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32" customFormat="1" x14ac:dyDescent="0.25">
      <c r="A107" s="48"/>
      <c r="B107" s="48">
        <v>11282018</v>
      </c>
      <c r="C107" s="48" t="s">
        <v>219</v>
      </c>
      <c r="D107" s="48"/>
      <c r="E107" s="52" t="s">
        <v>175</v>
      </c>
      <c r="F107" s="52" t="s">
        <v>7</v>
      </c>
      <c r="G107" s="52" t="s">
        <v>37</v>
      </c>
      <c r="H107" s="52" t="s">
        <v>21</v>
      </c>
      <c r="I107" s="52">
        <v>42000</v>
      </c>
      <c r="J107" s="54">
        <v>0</v>
      </c>
      <c r="K107" s="52"/>
      <c r="L107" s="55">
        <v>0</v>
      </c>
      <c r="M107" s="52">
        <v>42000</v>
      </c>
      <c r="N107" s="5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32" customFormat="1" x14ac:dyDescent="0.25">
      <c r="A108" s="48"/>
      <c r="B108" s="48">
        <v>21452019</v>
      </c>
      <c r="C108" s="48" t="s">
        <v>220</v>
      </c>
      <c r="D108" s="48"/>
      <c r="E108" s="52" t="s">
        <v>175</v>
      </c>
      <c r="F108" s="52" t="s">
        <v>7</v>
      </c>
      <c r="G108" s="52" t="s">
        <v>37</v>
      </c>
      <c r="H108" s="52" t="s">
        <v>221</v>
      </c>
      <c r="I108" s="52">
        <v>14000</v>
      </c>
      <c r="J108" s="54">
        <v>2000</v>
      </c>
      <c r="K108" s="52"/>
      <c r="L108" s="55">
        <v>0.14285714285714285</v>
      </c>
      <c r="M108" s="52">
        <v>16000</v>
      </c>
      <c r="N108" s="5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32" customFormat="1" x14ac:dyDescent="0.25">
      <c r="A109" s="48"/>
      <c r="B109" s="48">
        <v>21472019</v>
      </c>
      <c r="C109" s="48" t="s">
        <v>222</v>
      </c>
      <c r="D109" s="48"/>
      <c r="E109" s="52" t="s">
        <v>175</v>
      </c>
      <c r="F109" s="52" t="s">
        <v>7</v>
      </c>
      <c r="G109" s="52" t="s">
        <v>32</v>
      </c>
      <c r="H109" s="52" t="s">
        <v>5</v>
      </c>
      <c r="I109" s="52">
        <v>35000</v>
      </c>
      <c r="J109" s="54">
        <v>0</v>
      </c>
      <c r="K109" s="52"/>
      <c r="L109" s="55">
        <v>0</v>
      </c>
      <c r="M109" s="52">
        <v>35000</v>
      </c>
      <c r="N109" s="5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32" customFormat="1" x14ac:dyDescent="0.25">
      <c r="A110" s="48"/>
      <c r="B110" s="48">
        <v>11302019</v>
      </c>
      <c r="C110" s="48" t="s">
        <v>223</v>
      </c>
      <c r="D110" s="48"/>
      <c r="E110" s="52" t="s">
        <v>175</v>
      </c>
      <c r="F110" s="52" t="s">
        <v>7</v>
      </c>
      <c r="G110" s="52" t="s">
        <v>131</v>
      </c>
      <c r="H110" s="52" t="s">
        <v>3</v>
      </c>
      <c r="I110" s="52">
        <v>35000</v>
      </c>
      <c r="J110" s="54">
        <v>4000</v>
      </c>
      <c r="K110" s="52"/>
      <c r="L110" s="55">
        <v>0.11428571428571428</v>
      </c>
      <c r="M110" s="52">
        <v>39000</v>
      </c>
      <c r="N110" s="5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32" customFormat="1" x14ac:dyDescent="0.25">
      <c r="A111" s="48"/>
      <c r="B111" s="48">
        <v>21462019</v>
      </c>
      <c r="C111" s="48" t="s">
        <v>224</v>
      </c>
      <c r="D111" s="48"/>
      <c r="E111" s="52" t="s">
        <v>175</v>
      </c>
      <c r="F111" s="52" t="s">
        <v>7</v>
      </c>
      <c r="G111" s="52" t="s">
        <v>138</v>
      </c>
      <c r="H111" s="52" t="s">
        <v>4</v>
      </c>
      <c r="I111" s="52">
        <v>40000</v>
      </c>
      <c r="J111" s="54">
        <v>2000</v>
      </c>
      <c r="K111" s="52"/>
      <c r="L111" s="55">
        <v>0.05</v>
      </c>
      <c r="M111" s="52">
        <v>42000</v>
      </c>
      <c r="N111" s="5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32" customFormat="1" x14ac:dyDescent="0.25">
      <c r="A112" s="48"/>
      <c r="B112" s="48">
        <v>21442018</v>
      </c>
      <c r="C112" s="48" t="s">
        <v>225</v>
      </c>
      <c r="D112" s="48"/>
      <c r="E112" s="52" t="s">
        <v>175</v>
      </c>
      <c r="F112" s="52" t="s">
        <v>7</v>
      </c>
      <c r="G112" s="52" t="s">
        <v>20</v>
      </c>
      <c r="H112" s="52" t="s">
        <v>28</v>
      </c>
      <c r="I112" s="52">
        <v>10000</v>
      </c>
      <c r="J112" s="54">
        <v>0</v>
      </c>
      <c r="K112" s="52"/>
      <c r="L112" s="55">
        <v>0</v>
      </c>
      <c r="M112" s="52">
        <v>10000</v>
      </c>
      <c r="N112" s="5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48"/>
      <c r="B113" s="48">
        <v>21642019</v>
      </c>
      <c r="C113" s="48" t="s">
        <v>365</v>
      </c>
      <c r="D113" s="48"/>
      <c r="E113" s="52" t="s">
        <v>175</v>
      </c>
      <c r="F113" s="52" t="s">
        <v>7</v>
      </c>
      <c r="G113" s="52" t="s">
        <v>211</v>
      </c>
      <c r="H113" s="52" t="s">
        <v>212</v>
      </c>
      <c r="I113" s="52">
        <v>18000</v>
      </c>
      <c r="J113" s="54">
        <v>1000</v>
      </c>
      <c r="K113" s="52"/>
      <c r="L113" s="55">
        <v>5.5555555555555552E-2</v>
      </c>
      <c r="M113" s="52">
        <v>19000</v>
      </c>
      <c r="N113" s="52" t="s">
        <v>285</v>
      </c>
    </row>
    <row r="114" spans="1:34" x14ac:dyDescent="0.25">
      <c r="A114" s="48"/>
      <c r="B114" s="48">
        <v>21562019</v>
      </c>
      <c r="C114" s="48" t="s">
        <v>366</v>
      </c>
      <c r="D114" s="48"/>
      <c r="E114" s="52" t="s">
        <v>175</v>
      </c>
      <c r="F114" s="52" t="s">
        <v>7</v>
      </c>
      <c r="G114" s="52" t="s">
        <v>211</v>
      </c>
      <c r="H114" s="52" t="s">
        <v>212</v>
      </c>
      <c r="I114" s="52">
        <v>18000</v>
      </c>
      <c r="J114" s="54">
        <v>1000</v>
      </c>
      <c r="K114" s="52"/>
      <c r="L114" s="55">
        <v>5.5555555555555552E-2</v>
      </c>
      <c r="M114" s="52">
        <v>19000</v>
      </c>
      <c r="N114" s="52" t="s">
        <v>285</v>
      </c>
    </row>
    <row r="115" spans="1:34" x14ac:dyDescent="0.25">
      <c r="A115" s="48"/>
      <c r="B115" s="48">
        <v>21622019</v>
      </c>
      <c r="C115" s="48" t="s">
        <v>367</v>
      </c>
      <c r="D115" s="48"/>
      <c r="E115" s="52" t="s">
        <v>175</v>
      </c>
      <c r="F115" s="52" t="s">
        <v>7</v>
      </c>
      <c r="G115" s="52" t="s">
        <v>211</v>
      </c>
      <c r="H115" s="52" t="s">
        <v>212</v>
      </c>
      <c r="I115" s="52">
        <v>18000</v>
      </c>
      <c r="J115" s="54">
        <v>1000</v>
      </c>
      <c r="K115" s="52"/>
      <c r="L115" s="55">
        <v>5.5555555555555552E-2</v>
      </c>
      <c r="M115" s="52">
        <v>19000</v>
      </c>
      <c r="N115" s="52" t="s">
        <v>285</v>
      </c>
    </row>
    <row r="116" spans="1:34" x14ac:dyDescent="0.25">
      <c r="A116" s="48"/>
      <c r="B116" s="48">
        <v>21632019</v>
      </c>
      <c r="C116" s="48" t="s">
        <v>368</v>
      </c>
      <c r="D116" s="48"/>
      <c r="E116" s="52" t="s">
        <v>175</v>
      </c>
      <c r="F116" s="52" t="s">
        <v>7</v>
      </c>
      <c r="G116" s="52" t="s">
        <v>211</v>
      </c>
      <c r="H116" s="52" t="s">
        <v>212</v>
      </c>
      <c r="I116" s="52">
        <v>18000</v>
      </c>
      <c r="J116" s="54">
        <v>1000</v>
      </c>
      <c r="K116" s="52"/>
      <c r="L116" s="55">
        <v>5.5555555555555552E-2</v>
      </c>
      <c r="M116" s="52">
        <v>19000</v>
      </c>
      <c r="N116" s="52" t="s">
        <v>285</v>
      </c>
    </row>
    <row r="117" spans="1:34" x14ac:dyDescent="0.25">
      <c r="A117" s="48"/>
      <c r="B117" s="48">
        <v>21682019</v>
      </c>
      <c r="C117" s="48" t="s">
        <v>369</v>
      </c>
      <c r="D117" s="48"/>
      <c r="E117" s="52" t="s">
        <v>175</v>
      </c>
      <c r="F117" s="52" t="s">
        <v>7</v>
      </c>
      <c r="G117" s="52" t="s">
        <v>211</v>
      </c>
      <c r="H117" s="52" t="s">
        <v>212</v>
      </c>
      <c r="I117" s="52">
        <v>18000</v>
      </c>
      <c r="J117" s="54">
        <v>1000</v>
      </c>
      <c r="K117" s="52"/>
      <c r="L117" s="55">
        <v>5.5555555555555552E-2</v>
      </c>
      <c r="M117" s="52">
        <v>19000</v>
      </c>
      <c r="N117" s="52" t="s">
        <v>285</v>
      </c>
    </row>
    <row r="118" spans="1:34" x14ac:dyDescent="0.25">
      <c r="A118" s="48"/>
      <c r="B118" s="48">
        <v>21532019</v>
      </c>
      <c r="C118" s="48" t="s">
        <v>370</v>
      </c>
      <c r="D118" s="48"/>
      <c r="E118" s="52" t="s">
        <v>175</v>
      </c>
      <c r="F118" s="52" t="s">
        <v>7</v>
      </c>
      <c r="G118" s="52" t="s">
        <v>211</v>
      </c>
      <c r="H118" s="52" t="s">
        <v>212</v>
      </c>
      <c r="I118" s="52">
        <v>17000</v>
      </c>
      <c r="J118" s="54">
        <v>1000</v>
      </c>
      <c r="K118" s="52"/>
      <c r="L118" s="55">
        <v>5.8823529411764705E-2</v>
      </c>
      <c r="M118" s="52">
        <v>18000</v>
      </c>
      <c r="N118" s="52" t="s">
        <v>287</v>
      </c>
    </row>
    <row r="119" spans="1:34" x14ac:dyDescent="0.25">
      <c r="A119" s="48"/>
      <c r="B119" s="48">
        <v>21732020</v>
      </c>
      <c r="C119" s="48" t="s">
        <v>373</v>
      </c>
      <c r="D119" s="48"/>
      <c r="E119" s="52" t="s">
        <v>175</v>
      </c>
      <c r="F119" s="52" t="s">
        <v>7</v>
      </c>
      <c r="G119" s="52" t="s">
        <v>211</v>
      </c>
      <c r="H119" s="52" t="s">
        <v>212</v>
      </c>
      <c r="I119" s="52">
        <v>17000</v>
      </c>
      <c r="J119" s="54">
        <v>0</v>
      </c>
      <c r="K119" s="52"/>
      <c r="L119" s="67"/>
      <c r="M119" s="52">
        <v>17000</v>
      </c>
      <c r="N119" s="52" t="s">
        <v>288</v>
      </c>
    </row>
    <row r="120" spans="1:34" x14ac:dyDescent="0.25">
      <c r="A120" s="48"/>
      <c r="B120" s="48"/>
      <c r="C120" s="48"/>
      <c r="D120" s="48"/>
      <c r="E120" s="52"/>
      <c r="F120" s="52"/>
      <c r="G120" s="52"/>
      <c r="H120" s="52"/>
      <c r="I120" s="52"/>
      <c r="J120" s="54"/>
      <c r="K120" s="52"/>
      <c r="L120" s="67"/>
      <c r="M120" s="52"/>
      <c r="N120" s="52"/>
    </row>
    <row r="121" spans="1:34" x14ac:dyDescent="0.25">
      <c r="A121" s="48"/>
      <c r="B121" s="48">
        <v>10582015</v>
      </c>
      <c r="C121" s="48" t="s">
        <v>110</v>
      </c>
      <c r="D121" s="48"/>
      <c r="E121" s="52" t="s">
        <v>175</v>
      </c>
      <c r="F121" s="52" t="s">
        <v>201</v>
      </c>
      <c r="G121" s="52" t="s">
        <v>20</v>
      </c>
      <c r="H121" s="52" t="s">
        <v>27</v>
      </c>
      <c r="I121" s="52">
        <v>11000</v>
      </c>
      <c r="J121" s="54">
        <v>3000</v>
      </c>
      <c r="K121" s="52"/>
      <c r="L121" s="55">
        <v>0.27272727272727271</v>
      </c>
      <c r="M121" s="52">
        <v>14000</v>
      </c>
      <c r="N121" s="52"/>
      <c r="Q121" s="1" t="s">
        <v>380</v>
      </c>
      <c r="R121" s="1" t="s">
        <v>384</v>
      </c>
      <c r="S121" s="1" t="s">
        <v>381</v>
      </c>
      <c r="T121" s="1" t="s">
        <v>382</v>
      </c>
      <c r="U121" s="1" t="s">
        <v>383</v>
      </c>
    </row>
    <row r="122" spans="1:34" x14ac:dyDescent="0.25">
      <c r="A122" s="48"/>
      <c r="B122" s="48">
        <v>20792016</v>
      </c>
      <c r="C122" s="48" t="s">
        <v>111</v>
      </c>
      <c r="D122" s="48"/>
      <c r="E122" s="52" t="s">
        <v>175</v>
      </c>
      <c r="F122" s="52" t="s">
        <v>201</v>
      </c>
      <c r="G122" s="52" t="s">
        <v>20</v>
      </c>
      <c r="H122" s="52" t="s">
        <v>27</v>
      </c>
      <c r="I122" s="52">
        <v>11000</v>
      </c>
      <c r="J122" s="54">
        <v>3000</v>
      </c>
      <c r="K122" s="52"/>
      <c r="L122" s="55">
        <v>0.27272727272727271</v>
      </c>
      <c r="M122" s="52">
        <v>14000</v>
      </c>
      <c r="N122" s="52"/>
      <c r="P122" s="1" t="s">
        <v>238</v>
      </c>
      <c r="Q122" s="2">
        <f ca="1">SUMIF(G121:N161,P122,J121:J161)</f>
        <v>40000</v>
      </c>
      <c r="R122" s="42">
        <f>COUNTIF(G121:G161,P122)</f>
        <v>7</v>
      </c>
      <c r="S122" s="65">
        <f ca="1">AVERAGEIF(G121:M161,P122,L121:L161)</f>
        <v>0.20122655122655123</v>
      </c>
      <c r="T122" s="2"/>
      <c r="U122" s="65" t="e">
        <f t="shared" ref="U122:U128" ca="1" si="0">Q122/T122</f>
        <v>#DIV/0!</v>
      </c>
    </row>
    <row r="123" spans="1:34" x14ac:dyDescent="0.25">
      <c r="A123" s="48"/>
      <c r="B123" s="48">
        <v>21122017</v>
      </c>
      <c r="C123" s="48" t="s">
        <v>114</v>
      </c>
      <c r="D123" s="48"/>
      <c r="E123" s="52" t="s">
        <v>175</v>
      </c>
      <c r="F123" s="52" t="s">
        <v>201</v>
      </c>
      <c r="G123" s="52" t="s">
        <v>20</v>
      </c>
      <c r="H123" s="52" t="s">
        <v>27</v>
      </c>
      <c r="I123" s="52">
        <v>11000</v>
      </c>
      <c r="J123" s="54">
        <v>3000</v>
      </c>
      <c r="K123" s="52"/>
      <c r="L123" s="55">
        <v>0.27272727272727271</v>
      </c>
      <c r="M123" s="52">
        <v>14000</v>
      </c>
      <c r="N123" s="52"/>
      <c r="P123" s="1" t="s">
        <v>36</v>
      </c>
      <c r="Q123" s="2">
        <f ca="1">SUMIF(G121:N161,P123,J121:J161)</f>
        <v>41000</v>
      </c>
      <c r="R123" s="42">
        <f>COUNTIF(G121:G161,P123)</f>
        <v>6</v>
      </c>
      <c r="S123" s="65">
        <f ca="1">AVERAGEIF(G121:M161,P123,L121:L161)</f>
        <v>0.26227106227106228</v>
      </c>
      <c r="T123" s="2"/>
      <c r="U123" s="65" t="e">
        <f t="shared" ca="1" si="0"/>
        <v>#DIV/0!</v>
      </c>
    </row>
    <row r="124" spans="1:34" x14ac:dyDescent="0.25">
      <c r="A124" s="48"/>
      <c r="B124" s="48">
        <v>30532016</v>
      </c>
      <c r="C124" s="48" t="s">
        <v>200</v>
      </c>
      <c r="D124" s="48"/>
      <c r="E124" s="52" t="s">
        <v>175</v>
      </c>
      <c r="F124" s="52" t="s">
        <v>201</v>
      </c>
      <c r="G124" s="52" t="s">
        <v>20</v>
      </c>
      <c r="H124" s="52" t="s">
        <v>6</v>
      </c>
      <c r="I124" s="52">
        <v>23000</v>
      </c>
      <c r="J124" s="54">
        <v>3000</v>
      </c>
      <c r="K124" s="52"/>
      <c r="L124" s="55">
        <v>0.13043478260869565</v>
      </c>
      <c r="M124" s="52">
        <v>26000</v>
      </c>
      <c r="N124" s="52"/>
      <c r="P124" s="1" t="s">
        <v>37</v>
      </c>
      <c r="Q124" s="2">
        <f ca="1">SUMIF(G121:N161,P124,J121:J161)</f>
        <v>8000</v>
      </c>
      <c r="R124" s="42">
        <f>COUNTIF(G121:G161,P124)</f>
        <v>2</v>
      </c>
      <c r="S124" s="65">
        <f ca="1">AVERAGEIF(G121:M161,P124,L121:L161)</f>
        <v>0.10535714285714286</v>
      </c>
      <c r="T124" s="2"/>
      <c r="U124" s="65" t="e">
        <f t="shared" ca="1" si="0"/>
        <v>#DIV/0!</v>
      </c>
    </row>
    <row r="125" spans="1:34" x14ac:dyDescent="0.25">
      <c r="A125" s="48"/>
      <c r="B125" s="48">
        <v>40472018</v>
      </c>
      <c r="C125" s="48" t="s">
        <v>242</v>
      </c>
      <c r="D125" s="48"/>
      <c r="E125" s="52" t="s">
        <v>175</v>
      </c>
      <c r="F125" s="52" t="s">
        <v>201</v>
      </c>
      <c r="G125" s="52" t="s">
        <v>20</v>
      </c>
      <c r="H125" s="52" t="s">
        <v>27</v>
      </c>
      <c r="I125" s="52">
        <v>11000</v>
      </c>
      <c r="J125" s="54">
        <v>3000</v>
      </c>
      <c r="K125" s="52"/>
      <c r="L125" s="55">
        <v>0.27272727272727271</v>
      </c>
      <c r="M125" s="52">
        <v>14000</v>
      </c>
      <c r="N125" s="52"/>
      <c r="P125" s="1" t="s">
        <v>32</v>
      </c>
      <c r="Q125" s="2">
        <f ca="1">SUMIF(G121:N161,P125,J121:J161)</f>
        <v>29000</v>
      </c>
      <c r="R125" s="42">
        <f>COUNTIF(G121:G161,P125)</f>
        <v>6</v>
      </c>
      <c r="S125" s="65">
        <f ca="1">AVERAGEIF(G121:M161,P125,L121:L161)</f>
        <v>0.17766695266695268</v>
      </c>
      <c r="T125" s="2"/>
      <c r="U125" s="65" t="e">
        <f t="shared" ca="1" si="0"/>
        <v>#DIV/0!</v>
      </c>
    </row>
    <row r="126" spans="1:34" x14ac:dyDescent="0.25">
      <c r="A126" s="48"/>
      <c r="B126" s="48">
        <v>40332018</v>
      </c>
      <c r="C126" s="48" t="s">
        <v>302</v>
      </c>
      <c r="D126" s="48"/>
      <c r="E126" s="52" t="s">
        <v>175</v>
      </c>
      <c r="F126" s="52" t="s">
        <v>201</v>
      </c>
      <c r="G126" s="52" t="s">
        <v>20</v>
      </c>
      <c r="H126" s="52" t="s">
        <v>29</v>
      </c>
      <c r="I126" s="52">
        <v>12000</v>
      </c>
      <c r="J126" s="54">
        <v>3000</v>
      </c>
      <c r="K126" s="52"/>
      <c r="L126" s="55">
        <v>0.25</v>
      </c>
      <c r="M126" s="52">
        <v>15000</v>
      </c>
      <c r="N126" s="52"/>
      <c r="P126" s="1" t="s">
        <v>19</v>
      </c>
      <c r="Q126" s="2">
        <f ca="1">SUMIF(G121:N161,P126,J121:J161)</f>
        <v>40000</v>
      </c>
      <c r="R126" s="42">
        <f>COUNTIF(G121:G161,P126)</f>
        <v>10</v>
      </c>
      <c r="S126" s="65">
        <f ca="1">AVERAGEIF(G121:M161,P126,L121:L161)</f>
        <v>0.21089032035965699</v>
      </c>
      <c r="U126" s="65" t="e">
        <f t="shared" ca="1" si="0"/>
        <v>#DIV/0!</v>
      </c>
    </row>
    <row r="127" spans="1:34" x14ac:dyDescent="0.25">
      <c r="A127" s="48"/>
      <c r="B127" s="48">
        <v>40352018</v>
      </c>
      <c r="C127" s="48" t="s">
        <v>230</v>
      </c>
      <c r="D127" s="48"/>
      <c r="E127" s="52" t="s">
        <v>175</v>
      </c>
      <c r="F127" s="52" t="s">
        <v>201</v>
      </c>
      <c r="G127" s="52" t="s">
        <v>37</v>
      </c>
      <c r="H127" s="52" t="s">
        <v>5</v>
      </c>
      <c r="I127" s="52">
        <v>35000</v>
      </c>
      <c r="J127" s="54">
        <v>3000</v>
      </c>
      <c r="K127" s="52"/>
      <c r="L127" s="55">
        <v>8.5714285714285715E-2</v>
      </c>
      <c r="M127" s="52">
        <v>38000</v>
      </c>
      <c r="N127" s="52"/>
      <c r="P127" s="1" t="s">
        <v>138</v>
      </c>
      <c r="Q127" s="2">
        <f ca="1">SUMIF(G121:N161,P127,J121:J161)</f>
        <v>14000</v>
      </c>
      <c r="R127" s="42">
        <f>COUNTIF(G121:G161,P127)</f>
        <v>3</v>
      </c>
      <c r="S127" s="65">
        <f ca="1">AVERAGEIF(G121:M161,P127,L121:L161)</f>
        <v>0.17222222222222219</v>
      </c>
      <c r="U127" s="65" t="e">
        <f t="shared" ca="1" si="0"/>
        <v>#DIV/0!</v>
      </c>
    </row>
    <row r="128" spans="1:34" s="32" customFormat="1" x14ac:dyDescent="0.25">
      <c r="A128" s="48"/>
      <c r="B128" s="48">
        <v>20812016</v>
      </c>
      <c r="C128" s="48" t="s">
        <v>125</v>
      </c>
      <c r="D128" s="48"/>
      <c r="E128" s="52" t="s">
        <v>175</v>
      </c>
      <c r="F128" s="52" t="s">
        <v>201</v>
      </c>
      <c r="G128" s="52" t="s">
        <v>37</v>
      </c>
      <c r="H128" s="52" t="s">
        <v>3</v>
      </c>
      <c r="I128" s="52">
        <v>40000</v>
      </c>
      <c r="J128" s="54">
        <v>5000</v>
      </c>
      <c r="K128" s="52"/>
      <c r="L128" s="55">
        <v>0.125</v>
      </c>
      <c r="M128" s="52">
        <v>45000</v>
      </c>
      <c r="N128" s="52"/>
      <c r="O128" s="1"/>
      <c r="P128" s="1" t="s">
        <v>258</v>
      </c>
      <c r="Q128" s="2">
        <f ca="1">SUMIF(G121:N161,P128,J121:J161)</f>
        <v>0</v>
      </c>
      <c r="R128" s="42"/>
      <c r="S128" s="65"/>
      <c r="T128" s="1"/>
      <c r="U128" s="65" t="e">
        <f t="shared" ca="1" si="0"/>
        <v>#DIV/0!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48"/>
      <c r="B129" s="48">
        <v>10092005</v>
      </c>
      <c r="C129" s="48" t="s">
        <v>76</v>
      </c>
      <c r="D129" s="48"/>
      <c r="E129" s="52" t="s">
        <v>175</v>
      </c>
      <c r="F129" s="52" t="s">
        <v>201</v>
      </c>
      <c r="G129" s="52" t="s">
        <v>19</v>
      </c>
      <c r="H129" s="52" t="s">
        <v>4</v>
      </c>
      <c r="I129" s="52">
        <v>47000</v>
      </c>
      <c r="J129" s="54">
        <v>5000</v>
      </c>
      <c r="K129" s="52"/>
      <c r="L129" s="55">
        <v>0.10638297872340426</v>
      </c>
      <c r="M129" s="52">
        <v>52000</v>
      </c>
      <c r="N129" s="52"/>
      <c r="P129" s="1" t="s">
        <v>266</v>
      </c>
      <c r="Q129" s="2">
        <f ca="1">SUMIF(G121:N161,P129,J121:J161)</f>
        <v>0</v>
      </c>
      <c r="R129" s="42"/>
      <c r="S129" s="65"/>
      <c r="U129" s="65" t="e">
        <f t="shared" ref="U129:U132" ca="1" si="1">Q129/T129</f>
        <v>#DIV/0!</v>
      </c>
    </row>
    <row r="130" spans="1:34" x14ac:dyDescent="0.25">
      <c r="A130" s="48"/>
      <c r="B130" s="48">
        <v>20152010</v>
      </c>
      <c r="C130" s="48" t="s">
        <v>83</v>
      </c>
      <c r="D130" s="48"/>
      <c r="E130" s="52" t="s">
        <v>175</v>
      </c>
      <c r="F130" s="52" t="s">
        <v>201</v>
      </c>
      <c r="G130" s="52" t="s">
        <v>19</v>
      </c>
      <c r="H130" s="52" t="s">
        <v>3</v>
      </c>
      <c r="I130" s="52">
        <v>25000</v>
      </c>
      <c r="J130" s="54">
        <v>4000</v>
      </c>
      <c r="K130" s="52"/>
      <c r="L130" s="55">
        <v>0.16</v>
      </c>
      <c r="M130" s="52">
        <v>29000</v>
      </c>
      <c r="N130" s="52"/>
      <c r="P130" s="1" t="s">
        <v>245</v>
      </c>
      <c r="Q130" s="2">
        <f ca="1">SUMIF(G121:N161,P130,J121:J161)</f>
        <v>0</v>
      </c>
      <c r="R130" s="42">
        <f>COUNTIF(G121:G161,P130)</f>
        <v>1</v>
      </c>
      <c r="S130" s="65">
        <v>0</v>
      </c>
      <c r="U130" s="65" t="e">
        <f t="shared" ca="1" si="1"/>
        <v>#DIV/0!</v>
      </c>
    </row>
    <row r="131" spans="1:34" x14ac:dyDescent="0.25">
      <c r="A131" s="48"/>
      <c r="B131" s="48">
        <v>21182018</v>
      </c>
      <c r="C131" s="48" t="s">
        <v>88</v>
      </c>
      <c r="D131" s="48"/>
      <c r="E131" s="52" t="s">
        <v>175</v>
      </c>
      <c r="F131" s="52" t="s">
        <v>201</v>
      </c>
      <c r="G131" s="52" t="s">
        <v>19</v>
      </c>
      <c r="H131" s="52" t="s">
        <v>3</v>
      </c>
      <c r="I131" s="52">
        <v>17000</v>
      </c>
      <c r="J131" s="54">
        <v>4000</v>
      </c>
      <c r="K131" s="52"/>
      <c r="L131" s="55">
        <v>0.23529411764705882</v>
      </c>
      <c r="M131" s="52">
        <v>21000</v>
      </c>
      <c r="N131" s="52"/>
      <c r="P131" s="1" t="s">
        <v>146</v>
      </c>
      <c r="Q131" s="2">
        <f ca="1">SUMIF(G121:N161,P131,J121:J161)</f>
        <v>0</v>
      </c>
      <c r="R131" s="42"/>
      <c r="S131" s="65"/>
      <c r="U131" s="65" t="e">
        <f t="shared" ca="1" si="1"/>
        <v>#DIV/0!</v>
      </c>
    </row>
    <row r="132" spans="1:34" s="32" customFormat="1" x14ac:dyDescent="0.25">
      <c r="A132" s="48"/>
      <c r="B132" s="48">
        <v>20102008</v>
      </c>
      <c r="C132" s="48" t="s">
        <v>90</v>
      </c>
      <c r="D132" s="48"/>
      <c r="E132" s="52" t="s">
        <v>175</v>
      </c>
      <c r="F132" s="52" t="s">
        <v>201</v>
      </c>
      <c r="G132" s="52" t="s">
        <v>19</v>
      </c>
      <c r="H132" s="52" t="s">
        <v>139</v>
      </c>
      <c r="I132" s="52">
        <v>60000</v>
      </c>
      <c r="J132" s="54">
        <v>5000</v>
      </c>
      <c r="K132" s="52"/>
      <c r="L132" s="55">
        <v>8.3333333333333329E-2</v>
      </c>
      <c r="M132" s="52">
        <v>65000</v>
      </c>
      <c r="N132" s="52"/>
      <c r="O132" s="1"/>
      <c r="P132" s="1" t="s">
        <v>20</v>
      </c>
      <c r="Q132" s="2">
        <f ca="1">SUMIF(G121:N161,P132,J121:J161)</f>
        <v>18000</v>
      </c>
      <c r="R132" s="70">
        <f>COUNTIF(G121:G161,P132)</f>
        <v>6</v>
      </c>
      <c r="S132" s="65">
        <f ca="1">AVERAGEIF(G121:M161,P132,L121:L161)</f>
        <v>0.2452239789196311</v>
      </c>
      <c r="T132" s="1"/>
      <c r="U132" s="65" t="e">
        <f t="shared" ca="1" si="1"/>
        <v>#DIV/0!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s="32" customFormat="1" x14ac:dyDescent="0.25">
      <c r="A133" s="48"/>
      <c r="B133" s="48">
        <v>10122006</v>
      </c>
      <c r="C133" s="48" t="s">
        <v>155</v>
      </c>
      <c r="D133" s="48"/>
      <c r="E133" s="52" t="s">
        <v>175</v>
      </c>
      <c r="F133" s="52" t="s">
        <v>201</v>
      </c>
      <c r="G133" s="52" t="s">
        <v>19</v>
      </c>
      <c r="H133" s="52" t="s">
        <v>3</v>
      </c>
      <c r="I133" s="52">
        <v>39000</v>
      </c>
      <c r="J133" s="54">
        <v>3000</v>
      </c>
      <c r="K133" s="52"/>
      <c r="L133" s="55">
        <v>7.6923076923076927E-2</v>
      </c>
      <c r="M133" s="52">
        <v>42000</v>
      </c>
      <c r="N133" s="52"/>
      <c r="O133" s="1"/>
      <c r="P133" s="1"/>
      <c r="Q133" s="66">
        <f ca="1">SUM(Q122:Q132)</f>
        <v>190000</v>
      </c>
      <c r="R133" s="71">
        <f>SUM(R122:R132)</f>
        <v>41</v>
      </c>
      <c r="S133" s="64">
        <f ca="1">AVERAGE(S122:S132)</f>
        <v>0.17185727881540241</v>
      </c>
      <c r="T133" s="66">
        <f>SUM(T122:T132)</f>
        <v>0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s="32" customFormat="1" x14ac:dyDescent="0.25">
      <c r="A134" s="48"/>
      <c r="B134" s="48">
        <v>40322018</v>
      </c>
      <c r="C134" s="48" t="s">
        <v>234</v>
      </c>
      <c r="D134" s="48"/>
      <c r="E134" s="52" t="s">
        <v>175</v>
      </c>
      <c r="F134" s="52" t="s">
        <v>201</v>
      </c>
      <c r="G134" s="52" t="s">
        <v>19</v>
      </c>
      <c r="H134" s="52" t="s">
        <v>27</v>
      </c>
      <c r="I134" s="52">
        <v>11000</v>
      </c>
      <c r="J134" s="54">
        <v>4000</v>
      </c>
      <c r="K134" s="52"/>
      <c r="L134" s="55">
        <v>0.36363636363636365</v>
      </c>
      <c r="M134" s="52">
        <v>15000</v>
      </c>
      <c r="N134" s="52"/>
      <c r="O134" s="1"/>
      <c r="P134" s="1"/>
      <c r="Q134" s="63">
        <f ca="1">Q133/R133</f>
        <v>4634.1463414634145</v>
      </c>
      <c r="R134" s="69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s="32" customFormat="1" x14ac:dyDescent="0.25">
      <c r="A135" s="48"/>
      <c r="B135" s="48">
        <v>21402018</v>
      </c>
      <c r="C135" s="48" t="s">
        <v>235</v>
      </c>
      <c r="D135" s="48"/>
      <c r="E135" s="52" t="s">
        <v>175</v>
      </c>
      <c r="F135" s="52" t="s">
        <v>201</v>
      </c>
      <c r="G135" s="52" t="s">
        <v>19</v>
      </c>
      <c r="H135" s="52" t="s">
        <v>8</v>
      </c>
      <c r="I135" s="52">
        <v>15000</v>
      </c>
      <c r="J135" s="54">
        <v>5000</v>
      </c>
      <c r="K135" s="52"/>
      <c r="L135" s="55">
        <v>0.33333333333333331</v>
      </c>
      <c r="M135" s="52">
        <v>20000</v>
      </c>
      <c r="N135" s="5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s="32" customFormat="1" x14ac:dyDescent="0.25">
      <c r="A136" s="48"/>
      <c r="B136" s="48">
        <v>40442018</v>
      </c>
      <c r="C136" s="48" t="s">
        <v>236</v>
      </c>
      <c r="D136" s="48"/>
      <c r="E136" s="52" t="s">
        <v>175</v>
      </c>
      <c r="F136" s="52" t="s">
        <v>201</v>
      </c>
      <c r="G136" s="52" t="s">
        <v>19</v>
      </c>
      <c r="H136" s="52" t="s">
        <v>8</v>
      </c>
      <c r="I136" s="52">
        <v>15000</v>
      </c>
      <c r="J136" s="54">
        <v>5000</v>
      </c>
      <c r="K136" s="52"/>
      <c r="L136" s="55">
        <v>0.33333333333333331</v>
      </c>
      <c r="M136" s="52">
        <v>20000</v>
      </c>
      <c r="N136" s="5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s="32" customFormat="1" x14ac:dyDescent="0.25">
      <c r="A137" s="48"/>
      <c r="B137" s="48">
        <v>40622019</v>
      </c>
      <c r="C137" s="48" t="s">
        <v>305</v>
      </c>
      <c r="D137" s="48"/>
      <c r="E137" s="52" t="s">
        <v>175</v>
      </c>
      <c r="F137" s="52" t="s">
        <v>201</v>
      </c>
      <c r="G137" s="52" t="s">
        <v>19</v>
      </c>
      <c r="H137" s="52" t="s">
        <v>8</v>
      </c>
      <c r="I137" s="52">
        <v>12000</v>
      </c>
      <c r="J137" s="54">
        <v>5000</v>
      </c>
      <c r="K137" s="52"/>
      <c r="L137" s="55">
        <v>0.41666666666666669</v>
      </c>
      <c r="M137" s="52">
        <v>17000</v>
      </c>
      <c r="N137" s="5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s="32" customFormat="1" x14ac:dyDescent="0.25">
      <c r="A138" s="48"/>
      <c r="B138" s="48">
        <v>40562019</v>
      </c>
      <c r="C138" s="48" t="s">
        <v>244</v>
      </c>
      <c r="D138" s="48"/>
      <c r="E138" s="52" t="s">
        <v>175</v>
      </c>
      <c r="F138" s="52" t="s">
        <v>201</v>
      </c>
      <c r="G138" s="52" t="s">
        <v>19</v>
      </c>
      <c r="H138" s="52" t="s">
        <v>8</v>
      </c>
      <c r="I138" s="52">
        <v>15000</v>
      </c>
      <c r="J138" s="54">
        <v>0</v>
      </c>
      <c r="K138" s="52"/>
      <c r="L138" s="55">
        <v>0</v>
      </c>
      <c r="M138" s="52">
        <v>15000</v>
      </c>
      <c r="N138" s="5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s="32" customFormat="1" x14ac:dyDescent="0.25">
      <c r="A139" s="48"/>
      <c r="B139" s="48">
        <v>40602019</v>
      </c>
      <c r="C139" s="48" t="s">
        <v>306</v>
      </c>
      <c r="D139" s="48"/>
      <c r="E139" s="52" t="s">
        <v>175</v>
      </c>
      <c r="F139" s="52" t="s">
        <v>201</v>
      </c>
      <c r="G139" s="52" t="s">
        <v>245</v>
      </c>
      <c r="H139" s="52" t="s">
        <v>246</v>
      </c>
      <c r="I139" s="52">
        <v>150000</v>
      </c>
      <c r="J139" s="54">
        <v>0</v>
      </c>
      <c r="K139" s="52"/>
      <c r="L139" s="55">
        <v>0</v>
      </c>
      <c r="M139" s="52">
        <v>150000</v>
      </c>
      <c r="N139" s="5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s="32" customFormat="1" x14ac:dyDescent="0.25">
      <c r="A140" s="48"/>
      <c r="B140" s="48">
        <v>21042017</v>
      </c>
      <c r="C140" s="48" t="s">
        <v>123</v>
      </c>
      <c r="D140" s="48"/>
      <c r="E140" s="52" t="s">
        <v>175</v>
      </c>
      <c r="F140" s="52" t="s">
        <v>201</v>
      </c>
      <c r="G140" s="52" t="s">
        <v>36</v>
      </c>
      <c r="H140" s="52" t="s">
        <v>3</v>
      </c>
      <c r="I140" s="52">
        <v>35000</v>
      </c>
      <c r="J140" s="54">
        <v>5000</v>
      </c>
      <c r="K140" s="52"/>
      <c r="L140" s="55">
        <v>0.14285714285714285</v>
      </c>
      <c r="M140" s="52">
        <v>40000</v>
      </c>
      <c r="N140" s="5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s="32" customFormat="1" x14ac:dyDescent="0.25">
      <c r="A141" s="48" t="s">
        <v>260</v>
      </c>
      <c r="B141" s="48">
        <v>40312017</v>
      </c>
      <c r="C141" s="48" t="s">
        <v>124</v>
      </c>
      <c r="D141" s="48"/>
      <c r="E141" s="52" t="s">
        <v>175</v>
      </c>
      <c r="F141" s="52" t="s">
        <v>201</v>
      </c>
      <c r="G141" s="52" t="s">
        <v>36</v>
      </c>
      <c r="H141" s="52" t="s">
        <v>21</v>
      </c>
      <c r="I141" s="52">
        <v>40000</v>
      </c>
      <c r="J141" s="54">
        <v>5000</v>
      </c>
      <c r="K141" s="52"/>
      <c r="L141" s="55">
        <v>0.125</v>
      </c>
      <c r="M141" s="52">
        <v>45000</v>
      </c>
      <c r="N141" s="5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s="32" customFormat="1" x14ac:dyDescent="0.25">
      <c r="A142" s="48"/>
      <c r="B142" s="48">
        <v>40512018</v>
      </c>
      <c r="C142" s="48" t="s">
        <v>226</v>
      </c>
      <c r="D142" s="48"/>
      <c r="E142" s="52" t="s">
        <v>175</v>
      </c>
      <c r="F142" s="52" t="s">
        <v>201</v>
      </c>
      <c r="G142" s="52" t="s">
        <v>36</v>
      </c>
      <c r="H142" s="52" t="s">
        <v>5</v>
      </c>
      <c r="I142" s="52">
        <v>25000</v>
      </c>
      <c r="J142" s="54">
        <v>5000</v>
      </c>
      <c r="K142" s="52"/>
      <c r="L142" s="55">
        <v>0.2</v>
      </c>
      <c r="M142" s="52">
        <v>30000</v>
      </c>
      <c r="N142" s="5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s="32" customFormat="1" x14ac:dyDescent="0.25">
      <c r="A143" s="48"/>
      <c r="B143" s="48">
        <v>40452018</v>
      </c>
      <c r="C143" s="48" t="s">
        <v>227</v>
      </c>
      <c r="D143" s="48"/>
      <c r="E143" s="52" t="s">
        <v>175</v>
      </c>
      <c r="F143" s="52" t="s">
        <v>201</v>
      </c>
      <c r="G143" s="52" t="s">
        <v>36</v>
      </c>
      <c r="H143" s="52" t="s">
        <v>8</v>
      </c>
      <c r="I143" s="52">
        <v>16000</v>
      </c>
      <c r="J143" s="54">
        <v>6000</v>
      </c>
      <c r="K143" s="52"/>
      <c r="L143" s="55">
        <v>0.375</v>
      </c>
      <c r="M143" s="52">
        <v>22000</v>
      </c>
      <c r="N143" s="5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s="32" customFormat="1" x14ac:dyDescent="0.25">
      <c r="A144" s="48"/>
      <c r="B144" s="48">
        <v>40462018</v>
      </c>
      <c r="C144" s="48" t="s">
        <v>228</v>
      </c>
      <c r="D144" s="48"/>
      <c r="E144" s="52" t="s">
        <v>175</v>
      </c>
      <c r="F144" s="52" t="s">
        <v>201</v>
      </c>
      <c r="G144" s="52" t="s">
        <v>36</v>
      </c>
      <c r="H144" s="52" t="s">
        <v>8</v>
      </c>
      <c r="I144" s="52">
        <v>10000</v>
      </c>
      <c r="J144" s="54">
        <v>5000</v>
      </c>
      <c r="K144" s="52"/>
      <c r="L144" s="55">
        <v>0.5</v>
      </c>
      <c r="M144" s="52">
        <v>15000</v>
      </c>
      <c r="N144" s="5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s="32" customFormat="1" x14ac:dyDescent="0.25">
      <c r="A145" s="48"/>
      <c r="B145" s="48">
        <v>40712019</v>
      </c>
      <c r="C145" s="48" t="s">
        <v>229</v>
      </c>
      <c r="D145" s="48"/>
      <c r="E145" s="52" t="s">
        <v>175</v>
      </c>
      <c r="F145" s="52" t="s">
        <v>201</v>
      </c>
      <c r="G145" s="52" t="s">
        <v>36</v>
      </c>
      <c r="H145" s="52" t="s">
        <v>130</v>
      </c>
      <c r="I145" s="52">
        <v>65000</v>
      </c>
      <c r="J145" s="54">
        <v>15000</v>
      </c>
      <c r="K145" s="52"/>
      <c r="L145" s="55">
        <v>0.23076923076923078</v>
      </c>
      <c r="M145" s="52">
        <v>80000</v>
      </c>
      <c r="N145" s="5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s="32" customFormat="1" x14ac:dyDescent="0.25">
      <c r="A146" s="48"/>
      <c r="B146" s="48">
        <v>10252008</v>
      </c>
      <c r="C146" s="48" t="s">
        <v>65</v>
      </c>
      <c r="D146" s="48"/>
      <c r="E146" s="52" t="s">
        <v>175</v>
      </c>
      <c r="F146" s="52" t="s">
        <v>201</v>
      </c>
      <c r="G146" s="52" t="s">
        <v>138</v>
      </c>
      <c r="H146" s="52" t="s">
        <v>21</v>
      </c>
      <c r="I146" s="52">
        <v>40000</v>
      </c>
      <c r="J146" s="54">
        <v>6000</v>
      </c>
      <c r="K146" s="52"/>
      <c r="L146" s="55">
        <v>0.15</v>
      </c>
      <c r="M146" s="52">
        <v>46000</v>
      </c>
      <c r="N146" s="5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25">
      <c r="A147" s="48"/>
      <c r="B147" s="48">
        <v>10702016</v>
      </c>
      <c r="C147" s="48" t="s">
        <v>100</v>
      </c>
      <c r="D147" s="48"/>
      <c r="E147" s="52" t="s">
        <v>175</v>
      </c>
      <c r="F147" s="52" t="s">
        <v>201</v>
      </c>
      <c r="G147" s="52" t="s">
        <v>138</v>
      </c>
      <c r="H147" s="52" t="s">
        <v>3</v>
      </c>
      <c r="I147" s="52">
        <v>24000</v>
      </c>
      <c r="J147" s="54">
        <v>4000</v>
      </c>
      <c r="K147" s="52"/>
      <c r="L147" s="55">
        <v>0.16666666666666666</v>
      </c>
      <c r="M147" s="52">
        <v>28000</v>
      </c>
      <c r="N147" s="52"/>
    </row>
    <row r="148" spans="1:34" x14ac:dyDescent="0.25">
      <c r="A148" s="48"/>
      <c r="B148" s="48">
        <v>40392018</v>
      </c>
      <c r="C148" s="48" t="s">
        <v>237</v>
      </c>
      <c r="D148" s="48"/>
      <c r="E148" s="52" t="s">
        <v>175</v>
      </c>
      <c r="F148" s="52" t="s">
        <v>201</v>
      </c>
      <c r="G148" s="52" t="s">
        <v>138</v>
      </c>
      <c r="H148" s="52" t="s">
        <v>3</v>
      </c>
      <c r="I148" s="52">
        <v>20000</v>
      </c>
      <c r="J148" s="54">
        <v>4000</v>
      </c>
      <c r="K148" s="52"/>
      <c r="L148" s="55">
        <v>0.2</v>
      </c>
      <c r="M148" s="52">
        <v>24000</v>
      </c>
      <c r="N148" s="52"/>
    </row>
    <row r="149" spans="1:34" x14ac:dyDescent="0.25">
      <c r="A149" s="48"/>
      <c r="B149" s="48">
        <v>40362018</v>
      </c>
      <c r="C149" s="48" t="s">
        <v>298</v>
      </c>
      <c r="D149" s="48"/>
      <c r="E149" s="52" t="s">
        <v>175</v>
      </c>
      <c r="F149" s="52" t="s">
        <v>201</v>
      </c>
      <c r="G149" s="52" t="s">
        <v>238</v>
      </c>
      <c r="H149" s="52" t="s">
        <v>17</v>
      </c>
      <c r="I149" s="52">
        <v>350000</v>
      </c>
      <c r="J149" s="54">
        <v>0</v>
      </c>
      <c r="K149" s="52"/>
      <c r="L149" s="55">
        <v>0</v>
      </c>
      <c r="M149" s="52">
        <v>350000</v>
      </c>
      <c r="N149" s="52"/>
    </row>
    <row r="150" spans="1:34" x14ac:dyDescent="0.25">
      <c r="A150" s="48"/>
      <c r="B150" s="48">
        <v>40052018</v>
      </c>
      <c r="C150" s="48" t="s">
        <v>299</v>
      </c>
      <c r="D150" s="48"/>
      <c r="E150" s="52" t="s">
        <v>175</v>
      </c>
      <c r="F150" s="52" t="s">
        <v>201</v>
      </c>
      <c r="G150" s="52" t="s">
        <v>238</v>
      </c>
      <c r="H150" s="52" t="s">
        <v>239</v>
      </c>
      <c r="I150" s="52">
        <v>55000</v>
      </c>
      <c r="J150" s="54">
        <v>13000</v>
      </c>
      <c r="K150" s="52"/>
      <c r="L150" s="55">
        <v>0.23636363636363636</v>
      </c>
      <c r="M150" s="52">
        <v>68000</v>
      </c>
      <c r="N150" s="52" t="s">
        <v>377</v>
      </c>
    </row>
    <row r="151" spans="1:34" x14ac:dyDescent="0.25">
      <c r="A151" s="48"/>
      <c r="B151" s="48">
        <v>40372018</v>
      </c>
      <c r="C151" s="48" t="s">
        <v>300</v>
      </c>
      <c r="D151" s="48"/>
      <c r="E151" s="52" t="s">
        <v>175</v>
      </c>
      <c r="F151" s="52" t="s">
        <v>201</v>
      </c>
      <c r="G151" s="52" t="s">
        <v>238</v>
      </c>
      <c r="H151" s="52" t="s">
        <v>240</v>
      </c>
      <c r="I151" s="52">
        <v>25000</v>
      </c>
      <c r="J151" s="54">
        <v>5000</v>
      </c>
      <c r="K151" s="52"/>
      <c r="L151" s="55">
        <v>0.2</v>
      </c>
      <c r="M151" s="52">
        <v>30000</v>
      </c>
      <c r="N151" s="52"/>
    </row>
    <row r="152" spans="1:34" x14ac:dyDescent="0.25">
      <c r="A152" s="48"/>
      <c r="B152" s="48">
        <v>40432018</v>
      </c>
      <c r="C152" s="48" t="s">
        <v>301</v>
      </c>
      <c r="D152" s="48"/>
      <c r="E152" s="52" t="s">
        <v>175</v>
      </c>
      <c r="F152" s="52" t="s">
        <v>201</v>
      </c>
      <c r="G152" s="52" t="s">
        <v>238</v>
      </c>
      <c r="H152" s="52" t="s">
        <v>239</v>
      </c>
      <c r="I152" s="52">
        <v>40000</v>
      </c>
      <c r="J152" s="54">
        <v>10000</v>
      </c>
      <c r="K152" s="52"/>
      <c r="L152" s="55">
        <v>0.25</v>
      </c>
      <c r="M152" s="52">
        <v>50000</v>
      </c>
      <c r="N152" s="52" t="s">
        <v>378</v>
      </c>
    </row>
    <row r="153" spans="1:34" x14ac:dyDescent="0.25">
      <c r="A153" s="48"/>
      <c r="B153" s="48">
        <v>40592019</v>
      </c>
      <c r="C153" s="48" t="s">
        <v>303</v>
      </c>
      <c r="D153" s="48"/>
      <c r="E153" s="52" t="s">
        <v>175</v>
      </c>
      <c r="F153" s="52" t="s">
        <v>201</v>
      </c>
      <c r="G153" s="52" t="s">
        <v>238</v>
      </c>
      <c r="H153" s="52" t="s">
        <v>240</v>
      </c>
      <c r="I153" s="52">
        <v>18000</v>
      </c>
      <c r="J153" s="54">
        <v>7000</v>
      </c>
      <c r="K153" s="52"/>
      <c r="L153" s="55">
        <v>0.3888888888888889</v>
      </c>
      <c r="M153" s="52">
        <v>25000</v>
      </c>
      <c r="N153" s="52"/>
    </row>
    <row r="154" spans="1:34" x14ac:dyDescent="0.25">
      <c r="A154" s="48"/>
      <c r="B154" s="48">
        <v>40652019</v>
      </c>
      <c r="C154" s="48" t="s">
        <v>304</v>
      </c>
      <c r="D154" s="48"/>
      <c r="E154" s="52" t="s">
        <v>175</v>
      </c>
      <c r="F154" s="52" t="s">
        <v>201</v>
      </c>
      <c r="G154" s="52" t="s">
        <v>238</v>
      </c>
      <c r="H154" s="52" t="s">
        <v>239</v>
      </c>
      <c r="I154" s="52">
        <v>55000</v>
      </c>
      <c r="J154" s="54">
        <v>0</v>
      </c>
      <c r="K154" s="52"/>
      <c r="L154" s="55">
        <v>0</v>
      </c>
      <c r="M154" s="52">
        <v>55000</v>
      </c>
      <c r="N154" s="52"/>
    </row>
    <row r="155" spans="1:34" x14ac:dyDescent="0.25">
      <c r="A155" s="48"/>
      <c r="B155" s="48">
        <v>40612019</v>
      </c>
      <c r="C155" s="48" t="s">
        <v>243</v>
      </c>
      <c r="D155" s="48"/>
      <c r="E155" s="52" t="s">
        <v>175</v>
      </c>
      <c r="F155" s="52" t="s">
        <v>201</v>
      </c>
      <c r="G155" s="52" t="s">
        <v>238</v>
      </c>
      <c r="H155" s="52" t="s">
        <v>240</v>
      </c>
      <c r="I155" s="52">
        <v>15000</v>
      </c>
      <c r="J155" s="54">
        <v>5000</v>
      </c>
      <c r="K155" s="52"/>
      <c r="L155" s="55">
        <v>0.33333333333333331</v>
      </c>
      <c r="M155" s="52">
        <v>20000</v>
      </c>
      <c r="N155" s="52"/>
    </row>
    <row r="156" spans="1:34" x14ac:dyDescent="0.25">
      <c r="A156" s="48"/>
      <c r="B156" s="48">
        <v>10352009</v>
      </c>
      <c r="C156" s="48" t="s">
        <v>120</v>
      </c>
      <c r="D156" s="48"/>
      <c r="E156" s="52" t="s">
        <v>175</v>
      </c>
      <c r="F156" s="52" t="s">
        <v>201</v>
      </c>
      <c r="G156" s="52" t="s">
        <v>32</v>
      </c>
      <c r="H156" s="52" t="s">
        <v>33</v>
      </c>
      <c r="I156" s="52">
        <v>45000</v>
      </c>
      <c r="J156" s="54">
        <v>10000</v>
      </c>
      <c r="K156" s="52"/>
      <c r="L156" s="55">
        <v>0.22222222222222221</v>
      </c>
      <c r="M156" s="52">
        <v>55000</v>
      </c>
      <c r="N156" s="52"/>
    </row>
    <row r="157" spans="1:34" x14ac:dyDescent="0.25">
      <c r="A157" s="48"/>
      <c r="B157" s="48">
        <v>10952017</v>
      </c>
      <c r="C157" s="48" t="s">
        <v>121</v>
      </c>
      <c r="D157" s="48"/>
      <c r="E157" s="52" t="s">
        <v>175</v>
      </c>
      <c r="F157" s="52" t="s">
        <v>201</v>
      </c>
      <c r="G157" s="52" t="s">
        <v>32</v>
      </c>
      <c r="H157" s="52" t="s">
        <v>35</v>
      </c>
      <c r="I157" s="52">
        <v>18000</v>
      </c>
      <c r="J157" s="54">
        <v>5000</v>
      </c>
      <c r="K157" s="52"/>
      <c r="L157" s="55">
        <v>0.27777777777777779</v>
      </c>
      <c r="M157" s="52">
        <v>23000</v>
      </c>
      <c r="N157" s="52"/>
    </row>
    <row r="158" spans="1:34" x14ac:dyDescent="0.25">
      <c r="A158" s="48"/>
      <c r="B158" s="48">
        <v>20692016</v>
      </c>
      <c r="C158" s="48" t="s">
        <v>122</v>
      </c>
      <c r="D158" s="48"/>
      <c r="E158" s="52" t="s">
        <v>175</v>
      </c>
      <c r="F158" s="52" t="s">
        <v>201</v>
      </c>
      <c r="G158" s="52" t="s">
        <v>32</v>
      </c>
      <c r="H158" s="52" t="s">
        <v>3</v>
      </c>
      <c r="I158" s="52">
        <v>28000</v>
      </c>
      <c r="J158" s="54">
        <v>3000</v>
      </c>
      <c r="K158" s="52"/>
      <c r="L158" s="55">
        <v>0.10714285714285714</v>
      </c>
      <c r="M158" s="52">
        <v>31000</v>
      </c>
      <c r="N158" s="52"/>
    </row>
    <row r="159" spans="1:34" s="32" customFormat="1" x14ac:dyDescent="0.25">
      <c r="A159" s="48"/>
      <c r="B159" s="48">
        <v>40422018</v>
      </c>
      <c r="C159" s="48" t="s">
        <v>231</v>
      </c>
      <c r="D159" s="48"/>
      <c r="E159" s="52" t="s">
        <v>175</v>
      </c>
      <c r="F159" s="52" t="s">
        <v>201</v>
      </c>
      <c r="G159" s="52" t="s">
        <v>32</v>
      </c>
      <c r="H159" s="52" t="s">
        <v>8</v>
      </c>
      <c r="I159" s="52">
        <v>18000</v>
      </c>
      <c r="J159" s="54">
        <v>5000</v>
      </c>
      <c r="K159" s="52"/>
      <c r="L159" s="55">
        <v>0.27777777777777779</v>
      </c>
      <c r="M159" s="52">
        <v>23000</v>
      </c>
      <c r="N159" s="5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s="32" customFormat="1" x14ac:dyDescent="0.25">
      <c r="A160" s="48"/>
      <c r="B160" s="48">
        <v>40522018</v>
      </c>
      <c r="C160" s="48" t="s">
        <v>232</v>
      </c>
      <c r="D160" s="48"/>
      <c r="E160" s="52" t="s">
        <v>175</v>
      </c>
      <c r="F160" s="52" t="s">
        <v>201</v>
      </c>
      <c r="G160" s="52" t="s">
        <v>32</v>
      </c>
      <c r="H160" s="52" t="s">
        <v>21</v>
      </c>
      <c r="I160" s="52">
        <v>37000</v>
      </c>
      <c r="J160" s="54">
        <v>3000</v>
      </c>
      <c r="K160" s="52"/>
      <c r="L160" s="55">
        <v>8.1081081081081086E-2</v>
      </c>
      <c r="M160" s="52">
        <v>40000</v>
      </c>
      <c r="N160" s="5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14" x14ac:dyDescent="0.25">
      <c r="A161" s="48"/>
      <c r="B161" s="48">
        <v>40502018</v>
      </c>
      <c r="C161" s="48" t="s">
        <v>233</v>
      </c>
      <c r="D161" s="48"/>
      <c r="E161" s="52" t="s">
        <v>175</v>
      </c>
      <c r="F161" s="52" t="s">
        <v>201</v>
      </c>
      <c r="G161" s="52" t="s">
        <v>32</v>
      </c>
      <c r="H161" s="52" t="s">
        <v>3</v>
      </c>
      <c r="I161" s="52">
        <v>30000</v>
      </c>
      <c r="J161" s="54">
        <v>3000</v>
      </c>
      <c r="K161" s="52"/>
      <c r="L161" s="55">
        <v>0.1</v>
      </c>
      <c r="M161" s="52">
        <v>33000</v>
      </c>
      <c r="N161" s="52"/>
    </row>
    <row r="162" spans="1:14" x14ac:dyDescent="0.25">
      <c r="A162" s="48"/>
      <c r="B162" s="48"/>
      <c r="C162" s="48"/>
      <c r="D162" s="48"/>
      <c r="E162" s="52"/>
      <c r="F162" s="52"/>
      <c r="G162" s="52"/>
      <c r="H162" s="52"/>
      <c r="I162" s="52">
        <f>SUM(I121:I161)</f>
        <v>1569000</v>
      </c>
      <c r="J162" s="52">
        <f>SUM(J121:J161)</f>
        <v>190000</v>
      </c>
      <c r="K162" s="52"/>
      <c r="L162" s="55">
        <f>AVERAGE(L121:L161)</f>
        <v>0.20380102384656726</v>
      </c>
      <c r="M162" s="52"/>
      <c r="N162" s="52"/>
    </row>
    <row r="163" spans="1:14" x14ac:dyDescent="0.25">
      <c r="A163" s="48"/>
      <c r="B163" s="48"/>
      <c r="C163" s="48"/>
      <c r="D163" s="48"/>
      <c r="E163" s="52"/>
      <c r="F163" s="52"/>
      <c r="G163" s="52"/>
      <c r="H163" s="52"/>
      <c r="I163" s="52"/>
      <c r="J163" s="54"/>
      <c r="K163" s="52"/>
      <c r="L163" s="55"/>
      <c r="M163" s="52"/>
      <c r="N163" s="52"/>
    </row>
    <row r="164" spans="1:14" x14ac:dyDescent="0.25">
      <c r="A164" s="48"/>
      <c r="B164" s="48">
        <v>30250000</v>
      </c>
      <c r="C164" s="48" t="s">
        <v>312</v>
      </c>
      <c r="D164" s="48"/>
      <c r="E164" s="52" t="s">
        <v>175</v>
      </c>
      <c r="F164" s="52" t="s">
        <v>284</v>
      </c>
      <c r="G164" s="52" t="s">
        <v>258</v>
      </c>
      <c r="H164" s="52" t="s">
        <v>130</v>
      </c>
      <c r="I164" s="52">
        <v>52000</v>
      </c>
      <c r="J164" s="54">
        <v>8000</v>
      </c>
      <c r="K164" s="52"/>
      <c r="L164" s="55">
        <v>0.15384615384615385</v>
      </c>
      <c r="M164" s="52">
        <v>60000</v>
      </c>
      <c r="N164" s="52"/>
    </row>
    <row r="165" spans="1:14" x14ac:dyDescent="0.25">
      <c r="A165" s="48"/>
      <c r="B165" s="48">
        <v>30702018</v>
      </c>
      <c r="C165" s="48" t="s">
        <v>313</v>
      </c>
      <c r="D165" s="48"/>
      <c r="E165" s="52" t="s">
        <v>175</v>
      </c>
      <c r="F165" s="52" t="s">
        <v>284</v>
      </c>
      <c r="G165" s="52" t="s">
        <v>258</v>
      </c>
      <c r="H165" s="52" t="s">
        <v>3</v>
      </c>
      <c r="I165" s="52">
        <v>24000</v>
      </c>
      <c r="J165" s="54">
        <v>6000</v>
      </c>
      <c r="K165" s="52"/>
      <c r="L165" s="55">
        <v>0.25</v>
      </c>
      <c r="M165" s="52">
        <v>30000</v>
      </c>
      <c r="N165" s="52"/>
    </row>
    <row r="166" spans="1:14" x14ac:dyDescent="0.25">
      <c r="A166" s="48"/>
      <c r="B166" s="48">
        <v>30482016</v>
      </c>
      <c r="C166" s="48" t="s">
        <v>360</v>
      </c>
      <c r="D166" s="48"/>
      <c r="E166" s="52" t="s">
        <v>175</v>
      </c>
      <c r="F166" s="52" t="s">
        <v>284</v>
      </c>
      <c r="G166" s="52" t="s">
        <v>282</v>
      </c>
      <c r="H166" s="52" t="s">
        <v>283</v>
      </c>
      <c r="I166" s="52">
        <v>21000</v>
      </c>
      <c r="J166" s="54">
        <v>2000</v>
      </c>
      <c r="K166" s="52"/>
      <c r="L166" s="55">
        <v>9.5238095238095233E-2</v>
      </c>
      <c r="M166" s="52">
        <v>23000</v>
      </c>
      <c r="N166" s="52"/>
    </row>
  </sheetData>
  <sortState ref="A121:N162">
    <sortCondition ref="G121:G162"/>
  </sortState>
  <conditionalFormatting sqref="B1:B127 B129:B1048576">
    <cfRule type="duplicateValues" dxfId="14" priority="3"/>
  </conditionalFormatting>
  <conditionalFormatting sqref="B128">
    <cfRule type="duplicateValues" dxfId="13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4D87-6D83-4693-A715-2F7CB363CAD5}">
  <dimension ref="A1:AW215"/>
  <sheetViews>
    <sheetView topLeftCell="A163" zoomScale="90" zoomScaleNormal="90" workbookViewId="0">
      <pane xSplit="3" topLeftCell="N1" activePane="topRight" state="frozen"/>
      <selection pane="topRight" activeCell="Q179" sqref="Q179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7265625" style="43"/>
    <col min="6" max="6" width="20.08984375" style="43" bestFit="1" customWidth="1"/>
    <col min="7" max="7" width="21.6328125" style="43" bestFit="1" customWidth="1"/>
    <col min="8" max="8" width="23.81640625" style="44" bestFit="1" customWidth="1"/>
    <col min="9" max="9" width="12.54296875" style="44" bestFit="1" customWidth="1"/>
    <col min="10" max="10" width="9.453125" style="45" bestFit="1" customWidth="1"/>
    <col min="11" max="11" width="8.7265625" style="44"/>
    <col min="12" max="12" width="9.08984375" style="46" bestFit="1" customWidth="1"/>
    <col min="13" max="13" width="10.7265625" style="43" bestFit="1" customWidth="1"/>
    <col min="14" max="14" width="10.81640625" style="44" customWidth="1"/>
    <col min="15" max="15" width="8.7265625" style="1"/>
    <col min="16" max="16" width="21" style="1" bestFit="1" customWidth="1"/>
    <col min="17" max="17" width="9.7265625" style="1" customWidth="1"/>
    <col min="18" max="18" width="4.26953125" style="1" bestFit="1" customWidth="1"/>
    <col min="19" max="19" width="11.1796875" style="1" bestFit="1" customWidth="1"/>
    <col min="20" max="20" width="12.54296875" style="1" bestFit="1" customWidth="1"/>
    <col min="21" max="33" width="8.7265625" style="1"/>
    <col min="34" max="48" width="8.7265625" style="44"/>
    <col min="49" max="16384" width="8.7265625" style="1"/>
  </cols>
  <sheetData>
    <row r="1" spans="1:49" s="4" customFormat="1" ht="35.5" customHeight="1" x14ac:dyDescent="0.35">
      <c r="A1" s="47" t="s">
        <v>0</v>
      </c>
      <c r="B1" s="47" t="s">
        <v>1</v>
      </c>
      <c r="C1" s="47" t="s">
        <v>2</v>
      </c>
      <c r="D1" s="47" t="s">
        <v>183</v>
      </c>
      <c r="E1" s="49" t="s">
        <v>173</v>
      </c>
      <c r="F1" s="49" t="s">
        <v>250</v>
      </c>
      <c r="G1" s="49" t="s">
        <v>251</v>
      </c>
      <c r="H1" s="49" t="s">
        <v>252</v>
      </c>
      <c r="I1" s="50" t="s">
        <v>289</v>
      </c>
      <c r="J1" s="49" t="s">
        <v>253</v>
      </c>
      <c r="K1" s="49" t="s">
        <v>254</v>
      </c>
      <c r="L1" s="51" t="s">
        <v>296</v>
      </c>
      <c r="M1" s="49" t="s">
        <v>255</v>
      </c>
      <c r="N1" s="49" t="s">
        <v>256</v>
      </c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</row>
    <row r="2" spans="1:49" s="4" customFormat="1" x14ac:dyDescent="0.35">
      <c r="A2" s="47"/>
      <c r="B2" s="47"/>
      <c r="C2" s="47"/>
      <c r="D2" s="47"/>
      <c r="E2" s="49"/>
      <c r="F2" s="49"/>
      <c r="G2" s="49"/>
      <c r="H2" s="49"/>
      <c r="I2" s="50"/>
      <c r="J2" s="49"/>
      <c r="K2" s="49"/>
      <c r="L2" s="51"/>
      <c r="M2" s="49"/>
      <c r="N2" s="49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49" s="4" customFormat="1" ht="16.5" customHeight="1" x14ac:dyDescent="0.25">
      <c r="A3" s="48"/>
      <c r="B3" s="48">
        <v>20862017</v>
      </c>
      <c r="C3" s="48" t="s">
        <v>103</v>
      </c>
      <c r="D3" s="48"/>
      <c r="E3" s="52" t="s">
        <v>175</v>
      </c>
      <c r="F3" s="52" t="s">
        <v>7</v>
      </c>
      <c r="G3" s="52" t="s">
        <v>20</v>
      </c>
      <c r="H3" s="48" t="s">
        <v>9</v>
      </c>
      <c r="I3" s="53">
        <v>24000</v>
      </c>
      <c r="J3" s="54">
        <v>6000</v>
      </c>
      <c r="K3" s="48"/>
      <c r="L3" s="55">
        <v>0.25</v>
      </c>
      <c r="M3" s="52">
        <v>30000</v>
      </c>
      <c r="N3" s="48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</row>
    <row r="4" spans="1:49" x14ac:dyDescent="0.25">
      <c r="A4" s="48"/>
      <c r="B4" s="48">
        <v>21062016</v>
      </c>
      <c r="C4" s="48" t="s">
        <v>104</v>
      </c>
      <c r="D4" s="48"/>
      <c r="E4" s="52" t="s">
        <v>175</v>
      </c>
      <c r="F4" s="52" t="s">
        <v>7</v>
      </c>
      <c r="G4" s="52" t="s">
        <v>20</v>
      </c>
      <c r="H4" s="48" t="s">
        <v>26</v>
      </c>
      <c r="I4" s="53">
        <v>22000</v>
      </c>
      <c r="J4" s="54">
        <v>7000</v>
      </c>
      <c r="K4" s="48"/>
      <c r="L4" s="55">
        <v>0.31818181818181818</v>
      </c>
      <c r="M4" s="52">
        <v>29000</v>
      </c>
      <c r="N4" s="48"/>
    </row>
    <row r="5" spans="1:49" x14ac:dyDescent="0.25">
      <c r="A5" s="48"/>
      <c r="B5" s="48">
        <v>10431999</v>
      </c>
      <c r="C5" s="48" t="s">
        <v>107</v>
      </c>
      <c r="D5" s="48"/>
      <c r="E5" s="52" t="s">
        <v>175</v>
      </c>
      <c r="F5" s="52" t="s">
        <v>7</v>
      </c>
      <c r="G5" s="52" t="s">
        <v>20</v>
      </c>
      <c r="H5" s="48" t="s">
        <v>28</v>
      </c>
      <c r="I5" s="53">
        <v>18000</v>
      </c>
      <c r="J5" s="54">
        <v>2000</v>
      </c>
      <c r="K5" s="48"/>
      <c r="L5" s="55">
        <v>0.1111111111111111</v>
      </c>
      <c r="M5" s="52">
        <v>20000</v>
      </c>
      <c r="N5" s="48"/>
    </row>
    <row r="6" spans="1:49" x14ac:dyDescent="0.25">
      <c r="A6" s="48"/>
      <c r="B6" s="48">
        <v>10632016</v>
      </c>
      <c r="C6" s="48" t="s">
        <v>108</v>
      </c>
      <c r="D6" s="48"/>
      <c r="E6" s="52" t="s">
        <v>175</v>
      </c>
      <c r="F6" s="52" t="s">
        <v>7</v>
      </c>
      <c r="G6" s="52" t="s">
        <v>20</v>
      </c>
      <c r="H6" s="48" t="s">
        <v>29</v>
      </c>
      <c r="I6" s="53">
        <v>15000</v>
      </c>
      <c r="J6" s="54">
        <v>2000</v>
      </c>
      <c r="K6" s="48"/>
      <c r="L6" s="55">
        <v>0.13333333333333333</v>
      </c>
      <c r="M6" s="52">
        <v>17000</v>
      </c>
      <c r="N6" s="48"/>
    </row>
    <row r="7" spans="1:49" x14ac:dyDescent="0.25">
      <c r="A7" s="48"/>
      <c r="B7" s="48">
        <v>20420000</v>
      </c>
      <c r="C7" s="48" t="s">
        <v>109</v>
      </c>
      <c r="D7" s="48"/>
      <c r="E7" s="52" t="s">
        <v>175</v>
      </c>
      <c r="F7" s="52" t="s">
        <v>7</v>
      </c>
      <c r="G7" s="52" t="s">
        <v>20</v>
      </c>
      <c r="H7" s="48" t="s">
        <v>28</v>
      </c>
      <c r="I7" s="53">
        <v>16000</v>
      </c>
      <c r="J7" s="54">
        <v>2000</v>
      </c>
      <c r="K7" s="48"/>
      <c r="L7" s="55">
        <v>0.125</v>
      </c>
      <c r="M7" s="52">
        <v>18000</v>
      </c>
      <c r="N7" s="48"/>
    </row>
    <row r="8" spans="1:49" x14ac:dyDescent="0.25">
      <c r="A8" s="48"/>
      <c r="B8" s="48">
        <v>21082017</v>
      </c>
      <c r="C8" s="48" t="s">
        <v>113</v>
      </c>
      <c r="D8" s="48"/>
      <c r="E8" s="52" t="s">
        <v>175</v>
      </c>
      <c r="F8" s="52" t="s">
        <v>7</v>
      </c>
      <c r="G8" s="52" t="s">
        <v>20</v>
      </c>
      <c r="H8" s="48" t="s">
        <v>28</v>
      </c>
      <c r="I8" s="53">
        <v>13000</v>
      </c>
      <c r="J8" s="54">
        <v>3000</v>
      </c>
      <c r="K8" s="48"/>
      <c r="L8" s="55">
        <v>0.23076923076923078</v>
      </c>
      <c r="M8" s="52">
        <v>16000</v>
      </c>
      <c r="N8" s="48"/>
    </row>
    <row r="9" spans="1:49" x14ac:dyDescent="0.25">
      <c r="A9" s="48"/>
      <c r="B9" s="48">
        <v>20872017</v>
      </c>
      <c r="C9" s="48" t="s">
        <v>115</v>
      </c>
      <c r="D9" s="48"/>
      <c r="E9" s="52" t="s">
        <v>175</v>
      </c>
      <c r="F9" s="52" t="s">
        <v>7</v>
      </c>
      <c r="G9" s="52" t="s">
        <v>20</v>
      </c>
      <c r="H9" s="48" t="s">
        <v>28</v>
      </c>
      <c r="I9" s="53">
        <v>13000</v>
      </c>
      <c r="J9" s="54">
        <v>3000</v>
      </c>
      <c r="K9" s="48"/>
      <c r="L9" s="55">
        <v>0.23076923076923078</v>
      </c>
      <c r="M9" s="52">
        <v>16000</v>
      </c>
      <c r="N9" s="48"/>
    </row>
    <row r="10" spans="1:49" x14ac:dyDescent="0.25">
      <c r="A10" s="48"/>
      <c r="B10" s="48">
        <v>20412000</v>
      </c>
      <c r="C10" s="48" t="s">
        <v>117</v>
      </c>
      <c r="D10" s="48"/>
      <c r="E10" s="52" t="s">
        <v>175</v>
      </c>
      <c r="F10" s="52" t="s">
        <v>7</v>
      </c>
      <c r="G10" s="52" t="s">
        <v>20</v>
      </c>
      <c r="H10" s="48" t="s">
        <v>30</v>
      </c>
      <c r="I10" s="53">
        <v>16000</v>
      </c>
      <c r="J10" s="54">
        <v>2000</v>
      </c>
      <c r="K10" s="48"/>
      <c r="L10" s="55">
        <v>0.125</v>
      </c>
      <c r="M10" s="52">
        <v>18000</v>
      </c>
      <c r="N10" s="48"/>
    </row>
    <row r="11" spans="1:49" x14ac:dyDescent="0.25">
      <c r="A11" s="48"/>
      <c r="B11" s="48">
        <v>20442006</v>
      </c>
      <c r="C11" s="48" t="s">
        <v>160</v>
      </c>
      <c r="D11" s="48"/>
      <c r="E11" s="52" t="s">
        <v>175</v>
      </c>
      <c r="F11" s="52" t="s">
        <v>7</v>
      </c>
      <c r="G11" s="52" t="s">
        <v>20</v>
      </c>
      <c r="H11" s="48" t="s">
        <v>30</v>
      </c>
      <c r="I11" s="53">
        <v>16000</v>
      </c>
      <c r="J11" s="54">
        <v>2000</v>
      </c>
      <c r="K11" s="48"/>
      <c r="L11" s="55">
        <v>0.125</v>
      </c>
      <c r="M11" s="52">
        <v>18000</v>
      </c>
      <c r="N11" s="48"/>
    </row>
    <row r="12" spans="1:49" x14ac:dyDescent="0.25">
      <c r="A12" s="48"/>
      <c r="B12" s="48">
        <v>21012017</v>
      </c>
      <c r="C12" s="48" t="s">
        <v>118</v>
      </c>
      <c r="D12" s="48"/>
      <c r="E12" s="52" t="s">
        <v>175</v>
      </c>
      <c r="F12" s="52" t="s">
        <v>7</v>
      </c>
      <c r="G12" s="52" t="s">
        <v>20</v>
      </c>
      <c r="H12" s="48" t="s">
        <v>207</v>
      </c>
      <c r="I12" s="53">
        <v>12000</v>
      </c>
      <c r="J12" s="54">
        <v>2000</v>
      </c>
      <c r="K12" s="48"/>
      <c r="L12" s="55">
        <v>0.16666666666666666</v>
      </c>
      <c r="M12" s="52">
        <v>14000</v>
      </c>
      <c r="N12" s="48"/>
    </row>
    <row r="13" spans="1:49" x14ac:dyDescent="0.25">
      <c r="A13" s="48"/>
      <c r="B13" s="48">
        <v>21022017</v>
      </c>
      <c r="C13" s="48" t="s">
        <v>119</v>
      </c>
      <c r="D13" s="48"/>
      <c r="E13" s="52" t="s">
        <v>175</v>
      </c>
      <c r="F13" s="52" t="s">
        <v>7</v>
      </c>
      <c r="G13" s="52" t="s">
        <v>20</v>
      </c>
      <c r="H13" s="48" t="s">
        <v>28</v>
      </c>
      <c r="I13" s="53">
        <v>12000</v>
      </c>
      <c r="J13" s="54">
        <v>2000</v>
      </c>
      <c r="K13" s="48"/>
      <c r="L13" s="55">
        <v>0.16666666666666666</v>
      </c>
      <c r="M13" s="52">
        <v>14000</v>
      </c>
      <c r="N13" s="48"/>
    </row>
    <row r="14" spans="1:49" x14ac:dyDescent="0.25">
      <c r="A14" s="48"/>
      <c r="B14" s="48">
        <v>11082018</v>
      </c>
      <c r="C14" s="48" t="s">
        <v>202</v>
      </c>
      <c r="D14" s="48"/>
      <c r="E14" s="52" t="s">
        <v>175</v>
      </c>
      <c r="F14" s="52" t="s">
        <v>7</v>
      </c>
      <c r="G14" s="52" t="s">
        <v>20</v>
      </c>
      <c r="H14" s="52" t="s">
        <v>203</v>
      </c>
      <c r="I14" s="53">
        <v>15000</v>
      </c>
      <c r="J14" s="54">
        <v>5000</v>
      </c>
      <c r="K14" s="48"/>
      <c r="L14" s="55">
        <v>0.33333333333333331</v>
      </c>
      <c r="M14" s="52">
        <v>20000</v>
      </c>
      <c r="N14" s="48"/>
    </row>
    <row r="15" spans="1:49" x14ac:dyDescent="0.25">
      <c r="A15" s="48"/>
      <c r="B15" s="48">
        <v>21382018</v>
      </c>
      <c r="C15" s="48" t="s">
        <v>206</v>
      </c>
      <c r="D15" s="48"/>
      <c r="E15" s="52" t="s">
        <v>175</v>
      </c>
      <c r="F15" s="52" t="s">
        <v>7</v>
      </c>
      <c r="G15" s="52" t="s">
        <v>20</v>
      </c>
      <c r="H15" s="48" t="s">
        <v>28</v>
      </c>
      <c r="I15" s="53">
        <v>12000</v>
      </c>
      <c r="J15" s="54">
        <v>2000</v>
      </c>
      <c r="K15" s="48"/>
      <c r="L15" s="55">
        <v>0.16666666666666666</v>
      </c>
      <c r="M15" s="52">
        <v>14000</v>
      </c>
      <c r="N15" s="48"/>
    </row>
    <row r="16" spans="1:49" s="32" customFormat="1" x14ac:dyDescent="0.25">
      <c r="A16" s="48"/>
      <c r="B16" s="48">
        <v>21512019</v>
      </c>
      <c r="C16" s="48" t="s">
        <v>208</v>
      </c>
      <c r="D16" s="48"/>
      <c r="E16" s="52" t="s">
        <v>175</v>
      </c>
      <c r="F16" s="52" t="s">
        <v>7</v>
      </c>
      <c r="G16" s="52" t="s">
        <v>20</v>
      </c>
      <c r="H16" s="48" t="s">
        <v>207</v>
      </c>
      <c r="I16" s="53">
        <v>10000</v>
      </c>
      <c r="J16" s="54">
        <v>2000</v>
      </c>
      <c r="K16" s="48"/>
      <c r="L16" s="55">
        <v>0.2</v>
      </c>
      <c r="M16" s="52">
        <v>12000</v>
      </c>
      <c r="N16" s="4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72"/>
    </row>
    <row r="17" spans="1:49" s="32" customFormat="1" x14ac:dyDescent="0.25">
      <c r="A17" s="48"/>
      <c r="B17" s="48">
        <v>21442018</v>
      </c>
      <c r="C17" s="48" t="s">
        <v>225</v>
      </c>
      <c r="D17" s="48"/>
      <c r="E17" s="52" t="s">
        <v>175</v>
      </c>
      <c r="F17" s="52" t="s">
        <v>7</v>
      </c>
      <c r="G17" s="52" t="s">
        <v>20</v>
      </c>
      <c r="H17" s="48" t="s">
        <v>28</v>
      </c>
      <c r="I17" s="53">
        <v>10000</v>
      </c>
      <c r="J17" s="54">
        <v>2000</v>
      </c>
      <c r="K17" s="48"/>
      <c r="L17" s="55">
        <v>0.2</v>
      </c>
      <c r="M17" s="52">
        <v>12000</v>
      </c>
      <c r="N17" s="4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72"/>
    </row>
    <row r="18" spans="1:49" s="32" customFormat="1" x14ac:dyDescent="0.25">
      <c r="A18" s="48"/>
      <c r="B18" s="48">
        <v>11352020</v>
      </c>
      <c r="C18" s="48" t="s">
        <v>158</v>
      </c>
      <c r="D18" s="48"/>
      <c r="E18" s="52" t="s">
        <v>175</v>
      </c>
      <c r="F18" s="52" t="s">
        <v>7</v>
      </c>
      <c r="G18" s="52" t="s">
        <v>20</v>
      </c>
      <c r="H18" s="48" t="s">
        <v>130</v>
      </c>
      <c r="I18" s="53">
        <v>50000</v>
      </c>
      <c r="J18" s="54">
        <v>8000</v>
      </c>
      <c r="K18" s="48"/>
      <c r="L18" s="55">
        <v>0.16</v>
      </c>
      <c r="M18" s="52">
        <v>50000</v>
      </c>
      <c r="N18" s="48" t="s">
        <v>278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72"/>
    </row>
    <row r="19" spans="1:49" s="32" customFormat="1" x14ac:dyDescent="0.25">
      <c r="A19" s="48"/>
      <c r="B19" s="48">
        <v>21712019</v>
      </c>
      <c r="C19" s="48" t="s">
        <v>354</v>
      </c>
      <c r="D19" s="48"/>
      <c r="E19" s="52" t="s">
        <v>175</v>
      </c>
      <c r="F19" s="52" t="s">
        <v>7</v>
      </c>
      <c r="G19" s="52" t="s">
        <v>20</v>
      </c>
      <c r="H19" s="48" t="s">
        <v>279</v>
      </c>
      <c r="I19" s="53">
        <v>30000</v>
      </c>
      <c r="J19" s="54">
        <v>2000</v>
      </c>
      <c r="K19" s="48"/>
      <c r="L19" s="55">
        <v>6.6666666666666666E-2</v>
      </c>
      <c r="M19" s="52">
        <v>32000</v>
      </c>
      <c r="N19" s="4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72"/>
    </row>
    <row r="20" spans="1:49" s="32" customFormat="1" x14ac:dyDescent="0.25">
      <c r="A20" s="48"/>
      <c r="B20" s="48">
        <v>11482020</v>
      </c>
      <c r="C20" s="48" t="s">
        <v>355</v>
      </c>
      <c r="D20" s="48"/>
      <c r="E20" s="52" t="s">
        <v>175</v>
      </c>
      <c r="F20" s="52" t="s">
        <v>7</v>
      </c>
      <c r="G20" s="52" t="s">
        <v>20</v>
      </c>
      <c r="H20" s="48" t="s">
        <v>280</v>
      </c>
      <c r="I20" s="53">
        <v>150000</v>
      </c>
      <c r="J20" s="54">
        <v>0</v>
      </c>
      <c r="K20" s="48"/>
      <c r="L20" s="55">
        <v>0</v>
      </c>
      <c r="M20" s="52">
        <v>150000</v>
      </c>
      <c r="N20" s="4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72"/>
    </row>
    <row r="21" spans="1:49" s="32" customFormat="1" x14ac:dyDescent="0.25">
      <c r="A21" s="48"/>
      <c r="B21" s="48">
        <v>21852020</v>
      </c>
      <c r="C21" s="48" t="s">
        <v>356</v>
      </c>
      <c r="D21" s="48"/>
      <c r="E21" s="52" t="s">
        <v>175</v>
      </c>
      <c r="F21" s="52" t="s">
        <v>7</v>
      </c>
      <c r="G21" s="52" t="s">
        <v>20</v>
      </c>
      <c r="H21" s="48" t="s">
        <v>130</v>
      </c>
      <c r="I21" s="53">
        <v>50000</v>
      </c>
      <c r="J21" s="54">
        <v>0</v>
      </c>
      <c r="K21" s="48"/>
      <c r="L21" s="55">
        <v>0</v>
      </c>
      <c r="M21" s="52">
        <v>50000</v>
      </c>
      <c r="N21" s="4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72"/>
    </row>
    <row r="22" spans="1:49" s="32" customFormat="1" x14ac:dyDescent="0.25">
      <c r="A22" s="48"/>
      <c r="B22" s="48">
        <v>21662019</v>
      </c>
      <c r="C22" s="48" t="s">
        <v>358</v>
      </c>
      <c r="D22" s="48"/>
      <c r="E22" s="52" t="s">
        <v>175</v>
      </c>
      <c r="F22" s="52" t="s">
        <v>7</v>
      </c>
      <c r="G22" s="52" t="s">
        <v>20</v>
      </c>
      <c r="H22" s="48" t="s">
        <v>28</v>
      </c>
      <c r="I22" s="53">
        <v>11000</v>
      </c>
      <c r="J22" s="54">
        <v>2000</v>
      </c>
      <c r="K22" s="48"/>
      <c r="L22" s="55">
        <v>0.18181818181818182</v>
      </c>
      <c r="M22" s="52">
        <v>13000</v>
      </c>
      <c r="N22" s="4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72"/>
    </row>
    <row r="23" spans="1:49" s="32" customFormat="1" x14ac:dyDescent="0.25">
      <c r="A23" s="48"/>
      <c r="B23" s="48">
        <v>21702019</v>
      </c>
      <c r="C23" s="48" t="s">
        <v>359</v>
      </c>
      <c r="D23" s="48"/>
      <c r="E23" s="52" t="s">
        <v>175</v>
      </c>
      <c r="F23" s="52" t="s">
        <v>7</v>
      </c>
      <c r="G23" s="52" t="s">
        <v>20</v>
      </c>
      <c r="H23" s="48" t="s">
        <v>28</v>
      </c>
      <c r="I23" s="53">
        <v>10000</v>
      </c>
      <c r="J23" s="54">
        <v>2000</v>
      </c>
      <c r="K23" s="48"/>
      <c r="L23" s="55">
        <v>0.2</v>
      </c>
      <c r="M23" s="52">
        <v>12000</v>
      </c>
      <c r="N23" s="4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72"/>
    </row>
    <row r="24" spans="1:49" s="32" customFormat="1" x14ac:dyDescent="0.25">
      <c r="A24" s="48"/>
      <c r="B24" s="48">
        <v>21492019</v>
      </c>
      <c r="C24" s="48" t="s">
        <v>361</v>
      </c>
      <c r="D24" s="48"/>
      <c r="E24" s="52" t="s">
        <v>175</v>
      </c>
      <c r="F24" s="52" t="s">
        <v>7</v>
      </c>
      <c r="G24" s="52" t="s">
        <v>20</v>
      </c>
      <c r="H24" s="48" t="s">
        <v>207</v>
      </c>
      <c r="I24" s="53">
        <v>10000</v>
      </c>
      <c r="J24" s="54">
        <v>2000</v>
      </c>
      <c r="K24" s="48"/>
      <c r="L24" s="55">
        <v>0.2</v>
      </c>
      <c r="M24" s="52">
        <v>12000</v>
      </c>
      <c r="N24" s="4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72"/>
    </row>
    <row r="25" spans="1:49" s="32" customFormat="1" x14ac:dyDescent="0.25">
      <c r="A25" s="48"/>
      <c r="B25" s="48">
        <v>21592019</v>
      </c>
      <c r="C25" s="48" t="s">
        <v>362</v>
      </c>
      <c r="D25" s="48"/>
      <c r="E25" s="52" t="s">
        <v>175</v>
      </c>
      <c r="F25" s="52" t="s">
        <v>7</v>
      </c>
      <c r="G25" s="52" t="s">
        <v>20</v>
      </c>
      <c r="H25" s="48" t="s">
        <v>207</v>
      </c>
      <c r="I25" s="53">
        <v>8000</v>
      </c>
      <c r="J25" s="54">
        <v>3000</v>
      </c>
      <c r="K25" s="48"/>
      <c r="L25" s="55">
        <v>0.375</v>
      </c>
      <c r="M25" s="52">
        <v>11000</v>
      </c>
      <c r="N25" s="4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72"/>
    </row>
    <row r="26" spans="1:49" s="32" customFormat="1" x14ac:dyDescent="0.25">
      <c r="A26" s="48"/>
      <c r="B26" s="48">
        <v>21652019</v>
      </c>
      <c r="C26" s="48" t="s">
        <v>363</v>
      </c>
      <c r="D26" s="48"/>
      <c r="E26" s="52" t="s">
        <v>175</v>
      </c>
      <c r="F26" s="52" t="s">
        <v>7</v>
      </c>
      <c r="G26" s="52" t="s">
        <v>20</v>
      </c>
      <c r="H26" s="48" t="s">
        <v>207</v>
      </c>
      <c r="I26" s="53">
        <v>9000</v>
      </c>
      <c r="J26" s="54">
        <v>2000</v>
      </c>
      <c r="K26" s="48"/>
      <c r="L26" s="55">
        <v>0.22222222222222221</v>
      </c>
      <c r="M26" s="52">
        <v>11000</v>
      </c>
      <c r="N26" s="4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72"/>
    </row>
    <row r="27" spans="1:49" s="32" customFormat="1" x14ac:dyDescent="0.25">
      <c r="A27" s="48"/>
      <c r="B27" s="48">
        <v>21672019</v>
      </c>
      <c r="C27" s="48" t="s">
        <v>364</v>
      </c>
      <c r="D27" s="48"/>
      <c r="E27" s="52" t="s">
        <v>175</v>
      </c>
      <c r="F27" s="52" t="s">
        <v>7</v>
      </c>
      <c r="G27" s="52" t="s">
        <v>20</v>
      </c>
      <c r="H27" s="48" t="s">
        <v>207</v>
      </c>
      <c r="I27" s="53">
        <v>9000</v>
      </c>
      <c r="J27" s="54">
        <v>2000</v>
      </c>
      <c r="K27" s="48"/>
      <c r="L27" s="55">
        <v>0.22222222222222221</v>
      </c>
      <c r="M27" s="52">
        <v>11000</v>
      </c>
      <c r="N27" s="4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72"/>
    </row>
    <row r="28" spans="1:49" s="32" customFormat="1" x14ac:dyDescent="0.25">
      <c r="A28" s="48"/>
      <c r="B28" s="48">
        <v>11012018</v>
      </c>
      <c r="C28" s="48" t="s">
        <v>56</v>
      </c>
      <c r="D28" s="48"/>
      <c r="E28" s="52" t="s">
        <v>175</v>
      </c>
      <c r="F28" s="52" t="s">
        <v>7</v>
      </c>
      <c r="G28" s="52" t="s">
        <v>37</v>
      </c>
      <c r="H28" s="48" t="s">
        <v>136</v>
      </c>
      <c r="I28" s="53">
        <v>155000</v>
      </c>
      <c r="J28" s="54">
        <v>15000</v>
      </c>
      <c r="K28" s="48"/>
      <c r="L28" s="55">
        <v>9.6774193548387094E-2</v>
      </c>
      <c r="M28" s="52">
        <v>170000</v>
      </c>
      <c r="N28" s="4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72"/>
    </row>
    <row r="29" spans="1:49" s="32" customFormat="1" x14ac:dyDescent="0.25">
      <c r="A29" s="48"/>
      <c r="B29" s="48">
        <v>20282010</v>
      </c>
      <c r="C29" s="48" t="s">
        <v>57</v>
      </c>
      <c r="D29" s="48"/>
      <c r="E29" s="52" t="s">
        <v>175</v>
      </c>
      <c r="F29" s="52" t="s">
        <v>7</v>
      </c>
      <c r="G29" s="52" t="s">
        <v>37</v>
      </c>
      <c r="H29" s="48" t="s">
        <v>4</v>
      </c>
      <c r="I29" s="53">
        <v>66000</v>
      </c>
      <c r="J29" s="54">
        <v>12000</v>
      </c>
      <c r="K29" s="48"/>
      <c r="L29" s="55">
        <v>0.18181818181818182</v>
      </c>
      <c r="M29" s="52">
        <v>78000</v>
      </c>
      <c r="N29" s="4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72"/>
    </row>
    <row r="30" spans="1:49" s="32" customFormat="1" x14ac:dyDescent="0.25">
      <c r="A30" s="48"/>
      <c r="B30" s="48">
        <v>21132017</v>
      </c>
      <c r="C30" s="48" t="s">
        <v>58</v>
      </c>
      <c r="D30" s="48"/>
      <c r="E30" s="52" t="s">
        <v>175</v>
      </c>
      <c r="F30" s="52" t="s">
        <v>7</v>
      </c>
      <c r="G30" s="52" t="s">
        <v>37</v>
      </c>
      <c r="H30" s="48" t="s">
        <v>4</v>
      </c>
      <c r="I30" s="53">
        <v>50000</v>
      </c>
      <c r="J30" s="54">
        <v>10000</v>
      </c>
      <c r="K30" s="48"/>
      <c r="L30" s="55">
        <v>0.2</v>
      </c>
      <c r="M30" s="52">
        <v>60000</v>
      </c>
      <c r="N30" s="4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72"/>
    </row>
    <row r="31" spans="1:49" s="32" customFormat="1" x14ac:dyDescent="0.25">
      <c r="A31" s="48"/>
      <c r="B31" s="48">
        <v>30572016</v>
      </c>
      <c r="C31" s="48" t="s">
        <v>59</v>
      </c>
      <c r="D31" s="48"/>
      <c r="E31" s="52" t="s">
        <v>175</v>
      </c>
      <c r="F31" s="52" t="s">
        <v>7</v>
      </c>
      <c r="G31" s="52" t="s">
        <v>37</v>
      </c>
      <c r="H31" s="48" t="s">
        <v>4</v>
      </c>
      <c r="I31" s="53">
        <v>34000</v>
      </c>
      <c r="J31" s="54">
        <v>10000</v>
      </c>
      <c r="K31" s="48"/>
      <c r="L31" s="55">
        <v>0.29411764705882354</v>
      </c>
      <c r="M31" s="52">
        <v>44000</v>
      </c>
      <c r="N31" s="4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72"/>
    </row>
    <row r="32" spans="1:49" s="32" customFormat="1" x14ac:dyDescent="0.25">
      <c r="A32" s="48"/>
      <c r="B32" s="48">
        <v>21452019</v>
      </c>
      <c r="C32" s="48" t="s">
        <v>220</v>
      </c>
      <c r="D32" s="48"/>
      <c r="E32" s="52" t="s">
        <v>175</v>
      </c>
      <c r="F32" s="52" t="s">
        <v>7</v>
      </c>
      <c r="G32" s="52" t="s">
        <v>37</v>
      </c>
      <c r="H32" s="48" t="s">
        <v>221</v>
      </c>
      <c r="I32" s="53">
        <v>16000</v>
      </c>
      <c r="J32" s="54">
        <v>5000</v>
      </c>
      <c r="K32" s="48"/>
      <c r="L32" s="55">
        <v>0.3125</v>
      </c>
      <c r="M32" s="52">
        <v>21000</v>
      </c>
      <c r="N32" s="4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72"/>
    </row>
    <row r="33" spans="1:49" s="32" customFormat="1" x14ac:dyDescent="0.25">
      <c r="A33" s="48"/>
      <c r="B33" s="48">
        <v>11432020</v>
      </c>
      <c r="C33" s="48" t="s">
        <v>274</v>
      </c>
      <c r="D33" s="48"/>
      <c r="E33" s="52" t="s">
        <v>175</v>
      </c>
      <c r="F33" s="52" t="s">
        <v>7</v>
      </c>
      <c r="G33" s="52" t="s">
        <v>37</v>
      </c>
      <c r="H33" s="48" t="s">
        <v>3</v>
      </c>
      <c r="I33" s="53">
        <v>35000</v>
      </c>
      <c r="J33" s="54">
        <v>0</v>
      </c>
      <c r="K33" s="48"/>
      <c r="L33" s="55"/>
      <c r="M33" s="52">
        <v>35000</v>
      </c>
      <c r="N33" s="4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72"/>
    </row>
    <row r="34" spans="1:49" s="32" customFormat="1" x14ac:dyDescent="0.25">
      <c r="A34" s="48"/>
      <c r="B34" s="48">
        <v>20072000</v>
      </c>
      <c r="C34" s="48" t="s">
        <v>75</v>
      </c>
      <c r="D34" s="48"/>
      <c r="E34" s="52" t="s">
        <v>175</v>
      </c>
      <c r="F34" s="52" t="s">
        <v>7</v>
      </c>
      <c r="G34" s="52" t="s">
        <v>19</v>
      </c>
      <c r="H34" s="48" t="s">
        <v>139</v>
      </c>
      <c r="I34" s="53">
        <v>59000</v>
      </c>
      <c r="J34" s="54">
        <v>8000</v>
      </c>
      <c r="K34" s="48"/>
      <c r="L34" s="55">
        <v>0.13559322033898305</v>
      </c>
      <c r="M34" s="52">
        <v>67000</v>
      </c>
      <c r="N34" s="4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72"/>
    </row>
    <row r="35" spans="1:49" s="32" customFormat="1" x14ac:dyDescent="0.25">
      <c r="A35" s="48"/>
      <c r="B35" s="48">
        <v>20122009</v>
      </c>
      <c r="C35" s="48" t="s">
        <v>77</v>
      </c>
      <c r="D35" s="48"/>
      <c r="E35" s="52" t="s">
        <v>175</v>
      </c>
      <c r="F35" s="52" t="s">
        <v>7</v>
      </c>
      <c r="G35" s="52" t="s">
        <v>19</v>
      </c>
      <c r="H35" s="48" t="s">
        <v>6</v>
      </c>
      <c r="I35" s="53">
        <v>41000</v>
      </c>
      <c r="J35" s="54">
        <v>5000</v>
      </c>
      <c r="K35" s="48"/>
      <c r="L35" s="55">
        <v>0.12195121951219512</v>
      </c>
      <c r="M35" s="52">
        <v>46000</v>
      </c>
      <c r="N35" s="4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72"/>
    </row>
    <row r="36" spans="1:49" s="32" customFormat="1" x14ac:dyDescent="0.25">
      <c r="A36" s="48"/>
      <c r="B36" s="48">
        <v>21142017</v>
      </c>
      <c r="C36" s="48" t="s">
        <v>78</v>
      </c>
      <c r="D36" s="48"/>
      <c r="E36" s="52" t="s">
        <v>175</v>
      </c>
      <c r="F36" s="52" t="s">
        <v>7</v>
      </c>
      <c r="G36" s="52" t="s">
        <v>19</v>
      </c>
      <c r="H36" s="48" t="s">
        <v>6</v>
      </c>
      <c r="I36" s="53">
        <v>27000</v>
      </c>
      <c r="J36" s="54">
        <v>8000</v>
      </c>
      <c r="K36" s="48"/>
      <c r="L36" s="55">
        <v>0.29629629629629628</v>
      </c>
      <c r="M36" s="52">
        <v>35000</v>
      </c>
      <c r="N36" s="4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72"/>
    </row>
    <row r="37" spans="1:49" s="32" customFormat="1" x14ac:dyDescent="0.25">
      <c r="A37" s="48"/>
      <c r="B37" s="48">
        <v>10542014</v>
      </c>
      <c r="C37" s="48" t="s">
        <v>79</v>
      </c>
      <c r="D37" s="48"/>
      <c r="E37" s="52" t="s">
        <v>175</v>
      </c>
      <c r="F37" s="52" t="s">
        <v>7</v>
      </c>
      <c r="G37" s="52" t="s">
        <v>19</v>
      </c>
      <c r="H37" s="48" t="s">
        <v>3</v>
      </c>
      <c r="I37" s="53">
        <v>29000</v>
      </c>
      <c r="J37" s="54">
        <v>6000</v>
      </c>
      <c r="K37" s="48"/>
      <c r="L37" s="55">
        <v>0.20689655172413793</v>
      </c>
      <c r="M37" s="52">
        <v>35000</v>
      </c>
      <c r="N37" s="4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72"/>
    </row>
    <row r="38" spans="1:49" s="32" customFormat="1" x14ac:dyDescent="0.25">
      <c r="A38" s="48"/>
      <c r="B38" s="48">
        <v>10192011</v>
      </c>
      <c r="C38" s="48" t="s">
        <v>80</v>
      </c>
      <c r="D38" s="48"/>
      <c r="E38" s="52" t="s">
        <v>175</v>
      </c>
      <c r="F38" s="52" t="s">
        <v>7</v>
      </c>
      <c r="G38" s="52" t="s">
        <v>19</v>
      </c>
      <c r="H38" s="48" t="s">
        <v>6</v>
      </c>
      <c r="I38" s="53">
        <v>32000</v>
      </c>
      <c r="J38" s="54">
        <v>6000</v>
      </c>
      <c r="K38" s="48"/>
      <c r="L38" s="55">
        <v>0.1875</v>
      </c>
      <c r="M38" s="52">
        <v>38000</v>
      </c>
      <c r="N38" s="4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72"/>
    </row>
    <row r="39" spans="1:49" s="32" customFormat="1" x14ac:dyDescent="0.25">
      <c r="A39" s="48"/>
      <c r="B39" s="48">
        <v>20062000</v>
      </c>
      <c r="C39" s="48" t="s">
        <v>81</v>
      </c>
      <c r="D39" s="48"/>
      <c r="E39" s="52" t="s">
        <v>175</v>
      </c>
      <c r="F39" s="52" t="s">
        <v>7</v>
      </c>
      <c r="G39" s="52" t="s">
        <v>19</v>
      </c>
      <c r="H39" s="48" t="s">
        <v>139</v>
      </c>
      <c r="I39" s="53">
        <v>68000</v>
      </c>
      <c r="J39" s="54">
        <v>12000</v>
      </c>
      <c r="K39" s="48"/>
      <c r="L39" s="55">
        <v>0.17647058823529413</v>
      </c>
      <c r="M39" s="52">
        <v>80000</v>
      </c>
      <c r="N39" s="4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72"/>
    </row>
    <row r="40" spans="1:49" s="32" customFormat="1" x14ac:dyDescent="0.25">
      <c r="A40" s="48"/>
      <c r="B40" s="48">
        <v>21312018</v>
      </c>
      <c r="C40" s="48" t="s">
        <v>193</v>
      </c>
      <c r="D40" s="48"/>
      <c r="E40" s="52" t="s">
        <v>175</v>
      </c>
      <c r="F40" s="52" t="s">
        <v>7</v>
      </c>
      <c r="G40" s="52" t="s">
        <v>19</v>
      </c>
      <c r="H40" s="48" t="s">
        <v>8</v>
      </c>
      <c r="I40" s="53">
        <v>20000</v>
      </c>
      <c r="J40" s="54">
        <v>6000</v>
      </c>
      <c r="K40" s="48"/>
      <c r="L40" s="55">
        <v>0.3</v>
      </c>
      <c r="M40" s="52">
        <v>26000</v>
      </c>
      <c r="N40" s="4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72"/>
    </row>
    <row r="41" spans="1:49" s="32" customFormat="1" x14ac:dyDescent="0.25">
      <c r="A41" s="48"/>
      <c r="B41" s="48">
        <v>10212011</v>
      </c>
      <c r="C41" s="48" t="s">
        <v>84</v>
      </c>
      <c r="D41" s="48"/>
      <c r="E41" s="52" t="s">
        <v>175</v>
      </c>
      <c r="F41" s="52" t="s">
        <v>7</v>
      </c>
      <c r="G41" s="52" t="s">
        <v>19</v>
      </c>
      <c r="H41" s="48" t="s">
        <v>9</v>
      </c>
      <c r="I41" s="53">
        <v>27000</v>
      </c>
      <c r="J41" s="54">
        <v>5000</v>
      </c>
      <c r="K41" s="48"/>
      <c r="L41" s="55">
        <v>0.18518518518518517</v>
      </c>
      <c r="M41" s="52">
        <v>32000</v>
      </c>
      <c r="N41" s="4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72"/>
    </row>
    <row r="42" spans="1:49" s="32" customFormat="1" x14ac:dyDescent="0.25">
      <c r="A42" s="48"/>
      <c r="B42" s="48">
        <v>10222012</v>
      </c>
      <c r="C42" s="48" t="s">
        <v>297</v>
      </c>
      <c r="D42" s="48"/>
      <c r="E42" s="52" t="s">
        <v>175</v>
      </c>
      <c r="F42" s="52" t="s">
        <v>7</v>
      </c>
      <c r="G42" s="52" t="s">
        <v>19</v>
      </c>
      <c r="H42" s="48" t="s">
        <v>9</v>
      </c>
      <c r="I42" s="53">
        <v>30000</v>
      </c>
      <c r="J42" s="54">
        <v>5000</v>
      </c>
      <c r="K42" s="48"/>
      <c r="L42" s="55">
        <v>0.16666666666666666</v>
      </c>
      <c r="M42" s="52">
        <v>35000</v>
      </c>
      <c r="N42" s="4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72"/>
    </row>
    <row r="43" spans="1:49" s="32" customFormat="1" x14ac:dyDescent="0.25">
      <c r="A43" s="48"/>
      <c r="B43" s="48">
        <v>10522014</v>
      </c>
      <c r="C43" s="48" t="s">
        <v>85</v>
      </c>
      <c r="D43" s="48"/>
      <c r="E43" s="52" t="s">
        <v>175</v>
      </c>
      <c r="F43" s="52" t="s">
        <v>7</v>
      </c>
      <c r="G43" s="52" t="s">
        <v>19</v>
      </c>
      <c r="H43" s="48" t="s">
        <v>9</v>
      </c>
      <c r="I43" s="53">
        <v>23000</v>
      </c>
      <c r="J43" s="54">
        <v>5000</v>
      </c>
      <c r="K43" s="48"/>
      <c r="L43" s="55">
        <v>0.21739130434782608</v>
      </c>
      <c r="M43" s="52">
        <v>28000</v>
      </c>
      <c r="N43" s="4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72"/>
    </row>
    <row r="44" spans="1:49" s="32" customFormat="1" x14ac:dyDescent="0.25">
      <c r="A44" s="48"/>
      <c r="B44" s="48">
        <v>20892017</v>
      </c>
      <c r="C44" s="48" t="s">
        <v>86</v>
      </c>
      <c r="D44" s="48"/>
      <c r="E44" s="52" t="s">
        <v>175</v>
      </c>
      <c r="F44" s="52" t="s">
        <v>7</v>
      </c>
      <c r="G44" s="52" t="s">
        <v>19</v>
      </c>
      <c r="H44" s="48" t="s">
        <v>35</v>
      </c>
      <c r="I44" s="53">
        <v>20000</v>
      </c>
      <c r="J44" s="54">
        <v>5000</v>
      </c>
      <c r="K44" s="48"/>
      <c r="L44" s="55">
        <v>0.25</v>
      </c>
      <c r="M44" s="52">
        <v>25000</v>
      </c>
      <c r="N44" s="4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72"/>
    </row>
    <row r="45" spans="1:49" s="32" customFormat="1" x14ac:dyDescent="0.25">
      <c r="A45" s="48"/>
      <c r="B45" s="48">
        <v>10602007</v>
      </c>
      <c r="C45" s="48" t="s">
        <v>87</v>
      </c>
      <c r="D45" s="48"/>
      <c r="E45" s="52" t="s">
        <v>175</v>
      </c>
      <c r="F45" s="52" t="s">
        <v>7</v>
      </c>
      <c r="G45" s="52" t="s">
        <v>19</v>
      </c>
      <c r="H45" s="48" t="s">
        <v>9</v>
      </c>
      <c r="I45" s="53">
        <v>22000</v>
      </c>
      <c r="J45" s="54">
        <v>3000</v>
      </c>
      <c r="K45" s="48"/>
      <c r="L45" s="55">
        <v>0.13636363636363635</v>
      </c>
      <c r="M45" s="52">
        <v>25000</v>
      </c>
      <c r="N45" s="4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72"/>
    </row>
    <row r="46" spans="1:49" s="32" customFormat="1" x14ac:dyDescent="0.25">
      <c r="A46" s="48"/>
      <c r="B46" s="48">
        <v>10022004</v>
      </c>
      <c r="C46" s="48" t="s">
        <v>89</v>
      </c>
      <c r="D46" s="48"/>
      <c r="E46" s="52" t="s">
        <v>175</v>
      </c>
      <c r="F46" s="52" t="s">
        <v>7</v>
      </c>
      <c r="G46" s="52" t="s">
        <v>19</v>
      </c>
      <c r="H46" s="48" t="s">
        <v>151</v>
      </c>
      <c r="I46" s="53">
        <v>175000</v>
      </c>
      <c r="J46" s="54">
        <v>0</v>
      </c>
      <c r="K46" s="48"/>
      <c r="L46" s="55">
        <v>0</v>
      </c>
      <c r="M46" s="52">
        <v>175000</v>
      </c>
      <c r="N46" s="4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72"/>
    </row>
    <row r="47" spans="1:49" s="32" customFormat="1" x14ac:dyDescent="0.25">
      <c r="A47" s="48"/>
      <c r="B47" s="48">
        <v>20142012</v>
      </c>
      <c r="C47" s="48" t="s">
        <v>91</v>
      </c>
      <c r="D47" s="48"/>
      <c r="E47" s="52" t="s">
        <v>175</v>
      </c>
      <c r="F47" s="52" t="s">
        <v>7</v>
      </c>
      <c r="G47" s="52" t="s">
        <v>19</v>
      </c>
      <c r="H47" s="48" t="s">
        <v>3</v>
      </c>
      <c r="I47" s="53">
        <v>42000</v>
      </c>
      <c r="J47" s="54">
        <v>10000</v>
      </c>
      <c r="K47" s="48"/>
      <c r="L47" s="55">
        <v>0.23809523809523808</v>
      </c>
      <c r="M47" s="52">
        <v>52000</v>
      </c>
      <c r="N47" s="4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72"/>
    </row>
    <row r="48" spans="1:49" s="32" customFormat="1" x14ac:dyDescent="0.25">
      <c r="A48" s="48"/>
      <c r="B48" s="48">
        <v>21162017</v>
      </c>
      <c r="C48" s="48" t="s">
        <v>92</v>
      </c>
      <c r="D48" s="48"/>
      <c r="E48" s="52" t="s">
        <v>175</v>
      </c>
      <c r="F48" s="52" t="s">
        <v>7</v>
      </c>
      <c r="G48" s="52" t="s">
        <v>19</v>
      </c>
      <c r="H48" s="48" t="s">
        <v>8</v>
      </c>
      <c r="I48" s="53">
        <v>30000</v>
      </c>
      <c r="J48" s="54">
        <v>5000</v>
      </c>
      <c r="K48" s="48"/>
      <c r="L48" s="55">
        <v>0.16666666666666666</v>
      </c>
      <c r="M48" s="52">
        <v>35000</v>
      </c>
      <c r="N48" s="4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72"/>
    </row>
    <row r="49" spans="1:49" s="32" customFormat="1" x14ac:dyDescent="0.25">
      <c r="A49" s="48"/>
      <c r="B49" s="48">
        <v>11132018</v>
      </c>
      <c r="C49" s="48" t="s">
        <v>185</v>
      </c>
      <c r="D49" s="48"/>
      <c r="E49" s="52" t="s">
        <v>175</v>
      </c>
      <c r="F49" s="52" t="s">
        <v>7</v>
      </c>
      <c r="G49" s="52" t="s">
        <v>19</v>
      </c>
      <c r="H49" s="48" t="s">
        <v>4</v>
      </c>
      <c r="I49" s="53">
        <v>39000</v>
      </c>
      <c r="J49" s="54">
        <v>6000</v>
      </c>
      <c r="K49" s="48"/>
      <c r="L49" s="55">
        <v>0.15384615384615385</v>
      </c>
      <c r="M49" s="52">
        <v>45000</v>
      </c>
      <c r="N49" s="4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72"/>
    </row>
    <row r="50" spans="1:49" s="32" customFormat="1" x14ac:dyDescent="0.25">
      <c r="A50" s="48"/>
      <c r="B50" s="48">
        <v>10152009</v>
      </c>
      <c r="C50" s="48" t="s">
        <v>93</v>
      </c>
      <c r="D50" s="48"/>
      <c r="E50" s="52" t="s">
        <v>175</v>
      </c>
      <c r="F50" s="52" t="s">
        <v>7</v>
      </c>
      <c r="G50" s="52" t="s">
        <v>19</v>
      </c>
      <c r="H50" s="48" t="s">
        <v>9</v>
      </c>
      <c r="I50" s="53">
        <v>35000</v>
      </c>
      <c r="J50" s="54">
        <v>5000</v>
      </c>
      <c r="K50" s="48"/>
      <c r="L50" s="55">
        <v>0.14285714285714285</v>
      </c>
      <c r="M50" s="52">
        <v>40000</v>
      </c>
      <c r="N50" s="4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72"/>
    </row>
    <row r="51" spans="1:49" s="32" customFormat="1" x14ac:dyDescent="0.25">
      <c r="A51" s="48"/>
      <c r="B51" s="48">
        <v>20162010</v>
      </c>
      <c r="C51" s="48" t="s">
        <v>94</v>
      </c>
      <c r="D51" s="48"/>
      <c r="E51" s="52" t="s">
        <v>175</v>
      </c>
      <c r="F51" s="52" t="s">
        <v>7</v>
      </c>
      <c r="G51" s="52" t="s">
        <v>19</v>
      </c>
      <c r="H51" s="48" t="s">
        <v>3</v>
      </c>
      <c r="I51" s="53">
        <v>36000</v>
      </c>
      <c r="J51" s="54">
        <v>5000</v>
      </c>
      <c r="K51" s="48"/>
      <c r="L51" s="55">
        <v>0.1388888888888889</v>
      </c>
      <c r="M51" s="52">
        <v>41000</v>
      </c>
      <c r="N51" s="4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72"/>
    </row>
    <row r="52" spans="1:49" s="32" customFormat="1" x14ac:dyDescent="0.25">
      <c r="A52" s="48"/>
      <c r="B52" s="48">
        <v>20822016</v>
      </c>
      <c r="C52" s="48" t="s">
        <v>95</v>
      </c>
      <c r="D52" s="48"/>
      <c r="E52" s="52" t="s">
        <v>175</v>
      </c>
      <c r="F52" s="52" t="s">
        <v>7</v>
      </c>
      <c r="G52" s="52" t="s">
        <v>19</v>
      </c>
      <c r="H52" s="48" t="s">
        <v>6</v>
      </c>
      <c r="I52" s="53">
        <v>22000</v>
      </c>
      <c r="J52" s="54">
        <v>5000</v>
      </c>
      <c r="K52" s="48"/>
      <c r="L52" s="55">
        <v>0.22727272727272727</v>
      </c>
      <c r="M52" s="52">
        <v>27000</v>
      </c>
      <c r="N52" s="4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72"/>
    </row>
    <row r="53" spans="1:49" s="32" customFormat="1" x14ac:dyDescent="0.25">
      <c r="A53" s="48"/>
      <c r="B53" s="48">
        <v>21222018</v>
      </c>
      <c r="C53" s="48" t="s">
        <v>96</v>
      </c>
      <c r="D53" s="48"/>
      <c r="E53" s="52" t="s">
        <v>175</v>
      </c>
      <c r="F53" s="52" t="s">
        <v>7</v>
      </c>
      <c r="G53" s="52" t="s">
        <v>19</v>
      </c>
      <c r="H53" s="48" t="s">
        <v>8</v>
      </c>
      <c r="I53" s="53">
        <v>28000</v>
      </c>
      <c r="J53" s="54">
        <v>5000</v>
      </c>
      <c r="K53" s="48"/>
      <c r="L53" s="55">
        <v>0.17857142857142858</v>
      </c>
      <c r="M53" s="52">
        <v>33000</v>
      </c>
      <c r="N53" s="4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72"/>
    </row>
    <row r="54" spans="1:49" s="32" customFormat="1" x14ac:dyDescent="0.25">
      <c r="A54" s="48"/>
      <c r="B54" s="48">
        <v>21282018</v>
      </c>
      <c r="C54" s="48" t="s">
        <v>97</v>
      </c>
      <c r="D54" s="48"/>
      <c r="E54" s="52" t="s">
        <v>175</v>
      </c>
      <c r="F54" s="52" t="s">
        <v>7</v>
      </c>
      <c r="G54" s="52" t="s">
        <v>19</v>
      </c>
      <c r="H54" s="48" t="s">
        <v>8</v>
      </c>
      <c r="I54" s="53">
        <v>25000</v>
      </c>
      <c r="J54" s="54">
        <v>5000</v>
      </c>
      <c r="K54" s="48"/>
      <c r="L54" s="55">
        <v>0.2</v>
      </c>
      <c r="M54" s="52">
        <v>30000</v>
      </c>
      <c r="N54" s="4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72"/>
    </row>
    <row r="55" spans="1:49" s="32" customFormat="1" x14ac:dyDescent="0.25">
      <c r="A55" s="48"/>
      <c r="B55" s="48">
        <v>20462013</v>
      </c>
      <c r="C55" s="48" t="s">
        <v>98</v>
      </c>
      <c r="D55" s="48"/>
      <c r="E55" s="52" t="s">
        <v>175</v>
      </c>
      <c r="F55" s="52" t="s">
        <v>7</v>
      </c>
      <c r="G55" s="52" t="s">
        <v>19</v>
      </c>
      <c r="H55" s="48" t="s">
        <v>9</v>
      </c>
      <c r="I55" s="53">
        <v>24000</v>
      </c>
      <c r="J55" s="54">
        <v>6000</v>
      </c>
      <c r="K55" s="48"/>
      <c r="L55" s="55">
        <v>0.25</v>
      </c>
      <c r="M55" s="52">
        <v>30000</v>
      </c>
      <c r="N55" s="4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72"/>
    </row>
    <row r="56" spans="1:49" s="32" customFormat="1" x14ac:dyDescent="0.25">
      <c r="A56" s="48"/>
      <c r="B56" s="48">
        <v>10412012</v>
      </c>
      <c r="C56" s="48" t="s">
        <v>99</v>
      </c>
      <c r="D56" s="48"/>
      <c r="E56" s="52" t="s">
        <v>175</v>
      </c>
      <c r="F56" s="52" t="s">
        <v>7</v>
      </c>
      <c r="G56" s="52" t="s">
        <v>19</v>
      </c>
      <c r="H56" s="48" t="s">
        <v>9</v>
      </c>
      <c r="I56" s="53">
        <v>25000</v>
      </c>
      <c r="J56" s="54">
        <v>5000</v>
      </c>
      <c r="K56" s="48"/>
      <c r="L56" s="55">
        <v>0.2</v>
      </c>
      <c r="M56" s="52">
        <v>30000</v>
      </c>
      <c r="N56" s="4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72"/>
    </row>
    <row r="57" spans="1:49" s="32" customFormat="1" x14ac:dyDescent="0.25">
      <c r="A57" s="48"/>
      <c r="B57" s="48">
        <v>11042018</v>
      </c>
      <c r="C57" s="48" t="s">
        <v>187</v>
      </c>
      <c r="D57" s="48"/>
      <c r="E57" s="52" t="s">
        <v>175</v>
      </c>
      <c r="F57" s="52" t="s">
        <v>7</v>
      </c>
      <c r="G57" s="52" t="s">
        <v>19</v>
      </c>
      <c r="H57" s="48" t="s">
        <v>130</v>
      </c>
      <c r="I57" s="53">
        <v>75000</v>
      </c>
      <c r="J57" s="54">
        <v>7000</v>
      </c>
      <c r="K57" s="48"/>
      <c r="L57" s="55">
        <v>9.3333333333333338E-2</v>
      </c>
      <c r="M57" s="52">
        <v>82000</v>
      </c>
      <c r="N57" s="4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72"/>
    </row>
    <row r="58" spans="1:49" s="32" customFormat="1" x14ac:dyDescent="0.25">
      <c r="A58" s="48"/>
      <c r="B58" s="48">
        <v>11122018</v>
      </c>
      <c r="C58" s="48" t="s">
        <v>189</v>
      </c>
      <c r="D58" s="48"/>
      <c r="E58" s="52" t="s">
        <v>175</v>
      </c>
      <c r="F58" s="52" t="s">
        <v>7</v>
      </c>
      <c r="G58" s="52" t="s">
        <v>19</v>
      </c>
      <c r="H58" s="48" t="s">
        <v>8</v>
      </c>
      <c r="I58" s="53">
        <v>22000</v>
      </c>
      <c r="J58" s="54">
        <v>8000</v>
      </c>
      <c r="K58" s="48"/>
      <c r="L58" s="55">
        <v>0.36363636363636365</v>
      </c>
      <c r="M58" s="52">
        <v>30000</v>
      </c>
      <c r="N58" s="4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72"/>
    </row>
    <row r="59" spans="1:49" s="32" customFormat="1" x14ac:dyDescent="0.25">
      <c r="A59" s="48"/>
      <c r="B59" s="48">
        <v>11252018</v>
      </c>
      <c r="C59" s="48" t="s">
        <v>190</v>
      </c>
      <c r="D59" s="48"/>
      <c r="E59" s="52" t="s">
        <v>175</v>
      </c>
      <c r="F59" s="52" t="s">
        <v>7</v>
      </c>
      <c r="G59" s="52" t="s">
        <v>19</v>
      </c>
      <c r="H59" s="48" t="s">
        <v>8</v>
      </c>
      <c r="I59" s="53">
        <v>20000</v>
      </c>
      <c r="J59" s="54">
        <v>5000</v>
      </c>
      <c r="K59" s="48"/>
      <c r="L59" s="55">
        <v>0.25</v>
      </c>
      <c r="M59" s="52">
        <v>25000</v>
      </c>
      <c r="N59" s="4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72"/>
    </row>
    <row r="60" spans="1:49" s="32" customFormat="1" x14ac:dyDescent="0.25">
      <c r="A60" s="48"/>
      <c r="B60" s="48">
        <v>10081999</v>
      </c>
      <c r="C60" s="48" t="s">
        <v>101</v>
      </c>
      <c r="D60" s="48"/>
      <c r="E60" s="52" t="s">
        <v>175</v>
      </c>
      <c r="F60" s="52" t="s">
        <v>7</v>
      </c>
      <c r="G60" s="52" t="s">
        <v>19</v>
      </c>
      <c r="H60" s="48" t="s">
        <v>9</v>
      </c>
      <c r="I60" s="53">
        <v>55000</v>
      </c>
      <c r="J60" s="54">
        <v>7000</v>
      </c>
      <c r="K60" s="48"/>
      <c r="L60" s="55">
        <v>0.12727272727272726</v>
      </c>
      <c r="M60" s="52">
        <v>62000</v>
      </c>
      <c r="N60" s="4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72"/>
    </row>
    <row r="61" spans="1:49" s="32" customFormat="1" x14ac:dyDescent="0.25">
      <c r="A61" s="48"/>
      <c r="B61" s="48">
        <v>21102017</v>
      </c>
      <c r="C61" s="48" t="s">
        <v>105</v>
      </c>
      <c r="D61" s="48"/>
      <c r="E61" s="52" t="s">
        <v>175</v>
      </c>
      <c r="F61" s="52" t="s">
        <v>7</v>
      </c>
      <c r="G61" s="52" t="s">
        <v>19</v>
      </c>
      <c r="H61" s="48" t="s">
        <v>9</v>
      </c>
      <c r="I61" s="53">
        <v>17000</v>
      </c>
      <c r="J61" s="54">
        <v>7000</v>
      </c>
      <c r="K61" s="48"/>
      <c r="L61" s="55">
        <v>0.41176470588235292</v>
      </c>
      <c r="M61" s="52">
        <v>24000</v>
      </c>
      <c r="N61" s="4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72"/>
    </row>
    <row r="62" spans="1:49" s="32" customFormat="1" x14ac:dyDescent="0.25">
      <c r="A62" s="48"/>
      <c r="B62" s="48">
        <v>11342019</v>
      </c>
      <c r="C62" s="48" t="s">
        <v>345</v>
      </c>
      <c r="D62" s="48"/>
      <c r="E62" s="52" t="s">
        <v>175</v>
      </c>
      <c r="F62" s="52" t="s">
        <v>7</v>
      </c>
      <c r="G62" s="52" t="s">
        <v>19</v>
      </c>
      <c r="H62" s="48" t="s">
        <v>8</v>
      </c>
      <c r="I62" s="53">
        <v>15000</v>
      </c>
      <c r="J62" s="54">
        <v>7000</v>
      </c>
      <c r="K62" s="48"/>
      <c r="L62" s="55">
        <v>0.46666666666666667</v>
      </c>
      <c r="M62" s="52">
        <v>22000</v>
      </c>
      <c r="N62" s="4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72"/>
    </row>
    <row r="63" spans="1:49" s="32" customFormat="1" x14ac:dyDescent="0.25">
      <c r="A63" s="48"/>
      <c r="B63" s="48">
        <v>21752020</v>
      </c>
      <c r="C63" s="48" t="s">
        <v>346</v>
      </c>
      <c r="D63" s="48"/>
      <c r="E63" s="52" t="s">
        <v>175</v>
      </c>
      <c r="F63" s="52" t="s">
        <v>7</v>
      </c>
      <c r="G63" s="52" t="s">
        <v>19</v>
      </c>
      <c r="H63" s="48" t="s">
        <v>8</v>
      </c>
      <c r="I63" s="53">
        <v>15000</v>
      </c>
      <c r="J63" s="54">
        <v>5000</v>
      </c>
      <c r="K63" s="48"/>
      <c r="L63" s="55">
        <v>0.33333333333333331</v>
      </c>
      <c r="M63" s="52">
        <v>20000</v>
      </c>
      <c r="N63" s="4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72"/>
    </row>
    <row r="64" spans="1:49" s="32" customFormat="1" x14ac:dyDescent="0.25">
      <c r="A64" s="48"/>
      <c r="B64" s="48">
        <v>11402020</v>
      </c>
      <c r="C64" s="48" t="s">
        <v>103</v>
      </c>
      <c r="D64" s="48"/>
      <c r="E64" s="52" t="s">
        <v>175</v>
      </c>
      <c r="F64" s="52" t="s">
        <v>7</v>
      </c>
      <c r="G64" s="52" t="s">
        <v>19</v>
      </c>
      <c r="H64" s="48" t="s">
        <v>5</v>
      </c>
      <c r="I64" s="53">
        <v>12000</v>
      </c>
      <c r="J64" s="54">
        <v>8000</v>
      </c>
      <c r="K64" s="48"/>
      <c r="L64" s="55">
        <v>0.66666666666666663</v>
      </c>
      <c r="M64" s="52">
        <v>20000</v>
      </c>
      <c r="N64" s="4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72"/>
    </row>
    <row r="65" spans="1:49" s="32" customFormat="1" x14ac:dyDescent="0.25">
      <c r="A65" s="48"/>
      <c r="B65" s="48">
        <v>21812020</v>
      </c>
      <c r="C65" s="48" t="s">
        <v>347</v>
      </c>
      <c r="D65" s="48"/>
      <c r="E65" s="52" t="s">
        <v>175</v>
      </c>
      <c r="F65" s="52" t="s">
        <v>7</v>
      </c>
      <c r="G65" s="52" t="s">
        <v>19</v>
      </c>
      <c r="H65" s="48" t="s">
        <v>6</v>
      </c>
      <c r="I65" s="53">
        <v>14000</v>
      </c>
      <c r="J65" s="54">
        <v>6000</v>
      </c>
      <c r="K65" s="48"/>
      <c r="L65" s="55">
        <v>0.42857142857142855</v>
      </c>
      <c r="M65" s="52">
        <v>20000</v>
      </c>
      <c r="N65" s="4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72"/>
    </row>
    <row r="66" spans="1:49" s="32" customFormat="1" x14ac:dyDescent="0.25">
      <c r="A66" s="48"/>
      <c r="B66" s="48">
        <v>20172012</v>
      </c>
      <c r="C66" s="48" t="s">
        <v>82</v>
      </c>
      <c r="D66" s="48"/>
      <c r="E66" s="52" t="s">
        <v>175</v>
      </c>
      <c r="F66" s="52" t="s">
        <v>7</v>
      </c>
      <c r="G66" s="52" t="s">
        <v>276</v>
      </c>
      <c r="H66" s="48" t="s">
        <v>3</v>
      </c>
      <c r="I66" s="53">
        <v>30000</v>
      </c>
      <c r="J66" s="54">
        <v>7000</v>
      </c>
      <c r="K66" s="48"/>
      <c r="L66" s="55">
        <v>0.23333333333333334</v>
      </c>
      <c r="M66" s="52">
        <v>37000</v>
      </c>
      <c r="N66" s="4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72"/>
    </row>
    <row r="67" spans="1:49" s="32" customFormat="1" x14ac:dyDescent="0.25">
      <c r="A67" s="48"/>
      <c r="B67" s="48">
        <v>20912016</v>
      </c>
      <c r="C67" s="48" t="s">
        <v>102</v>
      </c>
      <c r="D67" s="48"/>
      <c r="E67" s="52" t="s">
        <v>175</v>
      </c>
      <c r="F67" s="52" t="s">
        <v>7</v>
      </c>
      <c r="G67" s="52" t="s">
        <v>276</v>
      </c>
      <c r="H67" s="48" t="s">
        <v>130</v>
      </c>
      <c r="I67" s="53">
        <v>42000</v>
      </c>
      <c r="J67" s="54">
        <v>15000</v>
      </c>
      <c r="K67" s="48"/>
      <c r="L67" s="55">
        <v>0.35714285714285715</v>
      </c>
      <c r="M67" s="52">
        <v>57000</v>
      </c>
      <c r="N67" s="4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72"/>
    </row>
    <row r="68" spans="1:49" s="32" customFormat="1" x14ac:dyDescent="0.25">
      <c r="A68" s="48"/>
      <c r="B68" s="48">
        <v>11242018</v>
      </c>
      <c r="C68" s="48" t="s">
        <v>196</v>
      </c>
      <c r="D68" s="48"/>
      <c r="E68" s="52" t="s">
        <v>175</v>
      </c>
      <c r="F68" s="52" t="s">
        <v>7</v>
      </c>
      <c r="G68" s="52" t="s">
        <v>276</v>
      </c>
      <c r="H68" s="48" t="s">
        <v>21</v>
      </c>
      <c r="I68" s="53">
        <v>40000</v>
      </c>
      <c r="J68" s="54">
        <v>5000</v>
      </c>
      <c r="K68" s="48"/>
      <c r="L68" s="55">
        <v>0.125</v>
      </c>
      <c r="M68" s="52">
        <v>45000</v>
      </c>
      <c r="N68" s="4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72"/>
    </row>
    <row r="69" spans="1:49" s="32" customFormat="1" x14ac:dyDescent="0.25">
      <c r="A69" s="48"/>
      <c r="B69" s="48">
        <v>10712016</v>
      </c>
      <c r="C69" s="48" t="s">
        <v>60</v>
      </c>
      <c r="D69" s="48"/>
      <c r="E69" s="52" t="s">
        <v>175</v>
      </c>
      <c r="F69" s="52" t="s">
        <v>7</v>
      </c>
      <c r="G69" s="52" t="s">
        <v>137</v>
      </c>
      <c r="H69" s="48" t="s">
        <v>21</v>
      </c>
      <c r="I69" s="53">
        <v>47000</v>
      </c>
      <c r="J69" s="54">
        <v>23000</v>
      </c>
      <c r="K69" s="48"/>
      <c r="L69" s="55">
        <v>0.48936170212765956</v>
      </c>
      <c r="M69" s="52">
        <v>70000</v>
      </c>
      <c r="N69" s="4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72"/>
    </row>
    <row r="70" spans="1:49" s="32" customFormat="1" x14ac:dyDescent="0.25">
      <c r="A70" s="48"/>
      <c r="B70" s="48">
        <v>20352011</v>
      </c>
      <c r="C70" s="48" t="s">
        <v>61</v>
      </c>
      <c r="D70" s="48"/>
      <c r="E70" s="52" t="s">
        <v>175</v>
      </c>
      <c r="F70" s="52" t="s">
        <v>7</v>
      </c>
      <c r="G70" s="52" t="s">
        <v>137</v>
      </c>
      <c r="H70" s="48" t="s">
        <v>4</v>
      </c>
      <c r="I70" s="53">
        <v>36000</v>
      </c>
      <c r="J70" s="54">
        <v>4000</v>
      </c>
      <c r="K70" s="48"/>
      <c r="L70" s="55">
        <v>0.1111111111111111</v>
      </c>
      <c r="M70" s="52">
        <v>40000</v>
      </c>
      <c r="N70" s="4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72"/>
    </row>
    <row r="71" spans="1:49" s="32" customFormat="1" x14ac:dyDescent="0.25">
      <c r="A71" s="48"/>
      <c r="B71" s="48">
        <v>21232018</v>
      </c>
      <c r="C71" s="48" t="s">
        <v>62</v>
      </c>
      <c r="D71" s="48"/>
      <c r="E71" s="52" t="s">
        <v>175</v>
      </c>
      <c r="F71" s="52" t="s">
        <v>7</v>
      </c>
      <c r="G71" s="52" t="s">
        <v>137</v>
      </c>
      <c r="H71" s="48" t="s">
        <v>3</v>
      </c>
      <c r="I71" s="53">
        <v>25000</v>
      </c>
      <c r="J71" s="54">
        <v>5000</v>
      </c>
      <c r="K71" s="48"/>
      <c r="L71" s="55">
        <v>0.2</v>
      </c>
      <c r="M71" s="52">
        <v>30000</v>
      </c>
      <c r="N71" s="4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72"/>
    </row>
    <row r="72" spans="1:49" s="32" customFormat="1" x14ac:dyDescent="0.25">
      <c r="A72" s="48"/>
      <c r="B72" s="48">
        <v>20842017</v>
      </c>
      <c r="C72" s="48" t="s">
        <v>63</v>
      </c>
      <c r="D72" s="48"/>
      <c r="E72" s="52" t="s">
        <v>175</v>
      </c>
      <c r="F72" s="52" t="s">
        <v>7</v>
      </c>
      <c r="G72" s="52" t="s">
        <v>137</v>
      </c>
      <c r="H72" s="48" t="s">
        <v>4</v>
      </c>
      <c r="I72" s="53">
        <v>30000</v>
      </c>
      <c r="J72" s="54">
        <v>7000</v>
      </c>
      <c r="K72" s="48"/>
      <c r="L72" s="55">
        <v>0.23333333333333334</v>
      </c>
      <c r="M72" s="52">
        <v>37000</v>
      </c>
      <c r="N72" s="4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72"/>
    </row>
    <row r="73" spans="1:49" s="32" customFormat="1" x14ac:dyDescent="0.25">
      <c r="A73" s="48"/>
      <c r="B73" s="48">
        <v>11452020</v>
      </c>
      <c r="C73" s="48" t="s">
        <v>341</v>
      </c>
      <c r="D73" s="48"/>
      <c r="E73" s="52" t="s">
        <v>175</v>
      </c>
      <c r="F73" s="52" t="s">
        <v>7</v>
      </c>
      <c r="G73" s="52" t="s">
        <v>137</v>
      </c>
      <c r="H73" s="48" t="s">
        <v>3</v>
      </c>
      <c r="I73" s="53">
        <v>30000</v>
      </c>
      <c r="J73" s="54">
        <v>5000</v>
      </c>
      <c r="K73" s="48"/>
      <c r="L73" s="55">
        <v>0.16666666666666666</v>
      </c>
      <c r="M73" s="52">
        <v>35000</v>
      </c>
      <c r="N73" s="4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72"/>
    </row>
    <row r="74" spans="1:49" s="32" customFormat="1" x14ac:dyDescent="0.25">
      <c r="A74" s="48"/>
      <c r="B74" s="48">
        <v>21842020</v>
      </c>
      <c r="C74" s="48" t="s">
        <v>342</v>
      </c>
      <c r="D74" s="48"/>
      <c r="E74" s="52" t="s">
        <v>175</v>
      </c>
      <c r="F74" s="52" t="s">
        <v>7</v>
      </c>
      <c r="G74" s="52" t="s">
        <v>137</v>
      </c>
      <c r="H74" s="48" t="s">
        <v>3</v>
      </c>
      <c r="I74" s="53">
        <v>28000</v>
      </c>
      <c r="J74" s="54">
        <v>15000</v>
      </c>
      <c r="K74" s="48"/>
      <c r="L74" s="55">
        <v>0.5357142857142857</v>
      </c>
      <c r="M74" s="52">
        <v>43000</v>
      </c>
      <c r="N74" s="4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72"/>
    </row>
    <row r="75" spans="1:49" s="32" customFormat="1" x14ac:dyDescent="0.25">
      <c r="A75" s="48"/>
      <c r="B75" s="48">
        <v>10782016</v>
      </c>
      <c r="C75" s="48" t="s">
        <v>43</v>
      </c>
      <c r="D75" s="48"/>
      <c r="E75" s="52" t="s">
        <v>175</v>
      </c>
      <c r="F75" s="52" t="s">
        <v>7</v>
      </c>
      <c r="G75" s="52" t="s">
        <v>36</v>
      </c>
      <c r="H75" s="48" t="s">
        <v>132</v>
      </c>
      <c r="I75" s="53">
        <v>185000</v>
      </c>
      <c r="J75" s="54">
        <v>15000</v>
      </c>
      <c r="K75" s="48"/>
      <c r="L75" s="55">
        <v>8.1081081081081086E-2</v>
      </c>
      <c r="M75" s="52">
        <v>200000</v>
      </c>
      <c r="N75" s="4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72"/>
    </row>
    <row r="76" spans="1:49" s="32" customFormat="1" x14ac:dyDescent="0.25">
      <c r="A76" s="48"/>
      <c r="B76" s="48">
        <v>21152017</v>
      </c>
      <c r="C76" s="48" t="s">
        <v>44</v>
      </c>
      <c r="D76" s="48"/>
      <c r="E76" s="52" t="s">
        <v>175</v>
      </c>
      <c r="F76" s="52" t="s">
        <v>7</v>
      </c>
      <c r="G76" s="52" t="s">
        <v>36</v>
      </c>
      <c r="H76" s="48" t="s">
        <v>130</v>
      </c>
      <c r="I76" s="53">
        <v>110000</v>
      </c>
      <c r="J76" s="54">
        <v>15000</v>
      </c>
      <c r="K76" s="48"/>
      <c r="L76" s="55">
        <v>0.13636363636363635</v>
      </c>
      <c r="M76" s="52">
        <v>125000</v>
      </c>
      <c r="N76" s="4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72"/>
    </row>
    <row r="77" spans="1:49" s="32" customFormat="1" x14ac:dyDescent="0.25">
      <c r="A77" s="48"/>
      <c r="B77" s="48">
        <v>20342009</v>
      </c>
      <c r="C77" s="48" t="s">
        <v>46</v>
      </c>
      <c r="D77" s="48"/>
      <c r="E77" s="52" t="s">
        <v>175</v>
      </c>
      <c r="F77" s="52" t="s">
        <v>7</v>
      </c>
      <c r="G77" s="52" t="s">
        <v>36</v>
      </c>
      <c r="H77" s="48" t="s">
        <v>4</v>
      </c>
      <c r="I77" s="53">
        <v>50000</v>
      </c>
      <c r="J77" s="54">
        <v>5000</v>
      </c>
      <c r="K77" s="48"/>
      <c r="L77" s="55">
        <v>0.1</v>
      </c>
      <c r="M77" s="52">
        <v>55000</v>
      </c>
      <c r="N77" s="4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72"/>
    </row>
    <row r="78" spans="1:49" s="32" customFormat="1" x14ac:dyDescent="0.25">
      <c r="A78" s="48"/>
      <c r="B78" s="48">
        <v>10752016</v>
      </c>
      <c r="C78" s="48" t="s">
        <v>47</v>
      </c>
      <c r="D78" s="48"/>
      <c r="E78" s="52" t="s">
        <v>175</v>
      </c>
      <c r="F78" s="52" t="s">
        <v>7</v>
      </c>
      <c r="G78" s="52" t="s">
        <v>36</v>
      </c>
      <c r="H78" s="48" t="s">
        <v>4</v>
      </c>
      <c r="I78" s="53">
        <v>40000</v>
      </c>
      <c r="J78" s="54">
        <v>12000</v>
      </c>
      <c r="K78" s="48"/>
      <c r="L78" s="55">
        <v>0.3</v>
      </c>
      <c r="M78" s="52">
        <v>52000</v>
      </c>
      <c r="N78" s="4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72"/>
    </row>
    <row r="79" spans="1:49" s="32" customFormat="1" x14ac:dyDescent="0.25">
      <c r="A79" s="48"/>
      <c r="B79" s="48">
        <v>10732016</v>
      </c>
      <c r="C79" s="48" t="s">
        <v>48</v>
      </c>
      <c r="D79" s="48"/>
      <c r="E79" s="52" t="s">
        <v>175</v>
      </c>
      <c r="F79" s="52" t="s">
        <v>7</v>
      </c>
      <c r="G79" s="52" t="s">
        <v>36</v>
      </c>
      <c r="H79" s="48" t="s">
        <v>4</v>
      </c>
      <c r="I79" s="53">
        <v>38000</v>
      </c>
      <c r="J79" s="54">
        <v>12000</v>
      </c>
      <c r="K79" s="48"/>
      <c r="L79" s="55">
        <v>0.31578947368421051</v>
      </c>
      <c r="M79" s="52">
        <v>50000</v>
      </c>
      <c r="N79" s="4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72"/>
    </row>
    <row r="80" spans="1:49" s="32" customFormat="1" x14ac:dyDescent="0.25">
      <c r="A80" s="48"/>
      <c r="B80" s="48">
        <v>20302005</v>
      </c>
      <c r="C80" s="48" t="s">
        <v>49</v>
      </c>
      <c r="D80" s="48"/>
      <c r="E80" s="52" t="s">
        <v>175</v>
      </c>
      <c r="F80" s="52" t="s">
        <v>7</v>
      </c>
      <c r="G80" s="52" t="s">
        <v>36</v>
      </c>
      <c r="H80" s="48" t="s">
        <v>3</v>
      </c>
      <c r="I80" s="53">
        <v>50000</v>
      </c>
      <c r="J80" s="54">
        <v>5000</v>
      </c>
      <c r="K80" s="48"/>
      <c r="L80" s="55">
        <v>0.1</v>
      </c>
      <c r="M80" s="52">
        <v>55000</v>
      </c>
      <c r="N80" s="4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72"/>
    </row>
    <row r="81" spans="1:49" s="32" customFormat="1" x14ac:dyDescent="0.25">
      <c r="A81" s="48"/>
      <c r="B81" s="48">
        <v>10392012</v>
      </c>
      <c r="C81" s="48" t="s">
        <v>50</v>
      </c>
      <c r="D81" s="48"/>
      <c r="E81" s="52" t="s">
        <v>175</v>
      </c>
      <c r="F81" s="52" t="s">
        <v>7</v>
      </c>
      <c r="G81" s="52" t="s">
        <v>36</v>
      </c>
      <c r="H81" s="48" t="s">
        <v>5</v>
      </c>
      <c r="I81" s="53">
        <v>38000</v>
      </c>
      <c r="J81" s="54">
        <v>4000</v>
      </c>
      <c r="K81" s="48"/>
      <c r="L81" s="55">
        <v>0.10526315789473684</v>
      </c>
      <c r="M81" s="52">
        <v>42000</v>
      </c>
      <c r="N81" s="4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72"/>
    </row>
    <row r="82" spans="1:49" s="32" customFormat="1" x14ac:dyDescent="0.25">
      <c r="A82" s="48"/>
      <c r="B82" s="48">
        <v>10402012</v>
      </c>
      <c r="C82" s="48" t="s">
        <v>51</v>
      </c>
      <c r="D82" s="48"/>
      <c r="E82" s="52" t="s">
        <v>175</v>
      </c>
      <c r="F82" s="52" t="s">
        <v>7</v>
      </c>
      <c r="G82" s="52" t="s">
        <v>36</v>
      </c>
      <c r="H82" s="48" t="s">
        <v>5</v>
      </c>
      <c r="I82" s="53">
        <v>41000</v>
      </c>
      <c r="J82" s="54">
        <v>9000</v>
      </c>
      <c r="K82" s="48"/>
      <c r="L82" s="55">
        <v>0.21951219512195122</v>
      </c>
      <c r="M82" s="52">
        <v>50000</v>
      </c>
      <c r="N82" s="4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72"/>
    </row>
    <row r="83" spans="1:49" s="32" customFormat="1" x14ac:dyDescent="0.25">
      <c r="A83" s="48"/>
      <c r="B83" s="48">
        <v>10722016</v>
      </c>
      <c r="C83" s="48" t="s">
        <v>52</v>
      </c>
      <c r="D83" s="48"/>
      <c r="E83" s="52" t="s">
        <v>175</v>
      </c>
      <c r="F83" s="52" t="s">
        <v>7</v>
      </c>
      <c r="G83" s="52" t="s">
        <v>36</v>
      </c>
      <c r="H83" s="48" t="s">
        <v>6</v>
      </c>
      <c r="I83" s="53">
        <v>33000</v>
      </c>
      <c r="J83" s="54">
        <v>7000</v>
      </c>
      <c r="K83" s="48"/>
      <c r="L83" s="55">
        <v>0.21212121212121213</v>
      </c>
      <c r="M83" s="52">
        <v>40000</v>
      </c>
      <c r="N83" s="4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72"/>
    </row>
    <row r="84" spans="1:49" s="32" customFormat="1" x14ac:dyDescent="0.25">
      <c r="A84" s="48"/>
      <c r="B84" s="48">
        <v>10692016</v>
      </c>
      <c r="C84" s="48" t="s">
        <v>53</v>
      </c>
      <c r="D84" s="48"/>
      <c r="E84" s="52" t="s">
        <v>175</v>
      </c>
      <c r="F84" s="52" t="s">
        <v>7</v>
      </c>
      <c r="G84" s="52" t="s">
        <v>36</v>
      </c>
      <c r="H84" s="48" t="s">
        <v>3</v>
      </c>
      <c r="I84" s="53">
        <v>32000</v>
      </c>
      <c r="J84" s="54">
        <v>8000</v>
      </c>
      <c r="K84" s="48"/>
      <c r="L84" s="55">
        <v>0.25</v>
      </c>
      <c r="M84" s="52">
        <v>40000</v>
      </c>
      <c r="N84" s="4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72"/>
    </row>
    <row r="85" spans="1:49" s="32" customFormat="1" x14ac:dyDescent="0.25">
      <c r="A85" s="48"/>
      <c r="B85" s="48">
        <v>20932017</v>
      </c>
      <c r="C85" s="48" t="s">
        <v>54</v>
      </c>
      <c r="D85" s="48"/>
      <c r="E85" s="52" t="s">
        <v>175</v>
      </c>
      <c r="F85" s="52" t="s">
        <v>7</v>
      </c>
      <c r="G85" s="52" t="s">
        <v>36</v>
      </c>
      <c r="H85" s="48" t="s">
        <v>3</v>
      </c>
      <c r="I85" s="53">
        <v>30000</v>
      </c>
      <c r="J85" s="54">
        <v>7000</v>
      </c>
      <c r="K85" s="48"/>
      <c r="L85" s="55">
        <v>0.23333333333333334</v>
      </c>
      <c r="M85" s="52">
        <v>37000</v>
      </c>
      <c r="N85" s="4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72"/>
    </row>
    <row r="86" spans="1:49" s="32" customFormat="1" x14ac:dyDescent="0.25">
      <c r="A86" s="48"/>
      <c r="B86" s="48">
        <v>21212018</v>
      </c>
      <c r="C86" s="48" t="s">
        <v>55</v>
      </c>
      <c r="D86" s="48"/>
      <c r="E86" s="52" t="s">
        <v>175</v>
      </c>
      <c r="F86" s="52" t="s">
        <v>7</v>
      </c>
      <c r="G86" s="52" t="s">
        <v>36</v>
      </c>
      <c r="H86" s="48" t="s">
        <v>5</v>
      </c>
      <c r="I86" s="53">
        <v>23000</v>
      </c>
      <c r="J86" s="54">
        <v>7000</v>
      </c>
      <c r="K86" s="48"/>
      <c r="L86" s="55">
        <v>0.30434782608695654</v>
      </c>
      <c r="M86" s="52">
        <v>30000</v>
      </c>
      <c r="N86" s="4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72"/>
    </row>
    <row r="87" spans="1:49" s="32" customFormat="1" x14ac:dyDescent="0.25">
      <c r="A87" s="48"/>
      <c r="B87" s="48">
        <v>21322018</v>
      </c>
      <c r="C87" s="48" t="s">
        <v>179</v>
      </c>
      <c r="D87" s="48"/>
      <c r="E87" s="52" t="s">
        <v>175</v>
      </c>
      <c r="F87" s="52" t="s">
        <v>7</v>
      </c>
      <c r="G87" s="52" t="s">
        <v>36</v>
      </c>
      <c r="H87" s="48" t="s">
        <v>5</v>
      </c>
      <c r="I87" s="53">
        <v>23000</v>
      </c>
      <c r="J87" s="54">
        <v>7000</v>
      </c>
      <c r="K87" s="48"/>
      <c r="L87" s="55">
        <v>0.30434782608695654</v>
      </c>
      <c r="M87" s="52">
        <v>30000</v>
      </c>
      <c r="N87" s="4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72"/>
    </row>
    <row r="88" spans="1:49" s="32" customFormat="1" x14ac:dyDescent="0.25">
      <c r="A88" s="48"/>
      <c r="B88" s="48">
        <v>21292018</v>
      </c>
      <c r="C88" s="48" t="s">
        <v>116</v>
      </c>
      <c r="D88" s="48"/>
      <c r="E88" s="52" t="s">
        <v>175</v>
      </c>
      <c r="F88" s="52" t="s">
        <v>7</v>
      </c>
      <c r="G88" s="52" t="s">
        <v>36</v>
      </c>
      <c r="H88" s="48" t="s">
        <v>3</v>
      </c>
      <c r="I88" s="53">
        <v>13000</v>
      </c>
      <c r="J88" s="54">
        <v>5000</v>
      </c>
      <c r="K88" s="48"/>
      <c r="L88" s="55">
        <v>0.38461538461538464</v>
      </c>
      <c r="M88" s="52">
        <v>18000</v>
      </c>
      <c r="N88" s="4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72"/>
    </row>
    <row r="89" spans="1:49" s="32" customFormat="1" x14ac:dyDescent="0.25">
      <c r="A89" s="48"/>
      <c r="B89" s="48">
        <v>21602019</v>
      </c>
      <c r="C89" s="48" t="s">
        <v>348</v>
      </c>
      <c r="D89" s="48"/>
      <c r="E89" s="52" t="s">
        <v>175</v>
      </c>
      <c r="F89" s="52" t="s">
        <v>7</v>
      </c>
      <c r="G89" s="52" t="s">
        <v>36</v>
      </c>
      <c r="H89" s="48" t="s">
        <v>277</v>
      </c>
      <c r="I89" s="53">
        <v>200000</v>
      </c>
      <c r="J89" s="54">
        <v>25000</v>
      </c>
      <c r="K89" s="48"/>
      <c r="L89" s="55">
        <v>0.125</v>
      </c>
      <c r="M89" s="52">
        <v>225000</v>
      </c>
      <c r="N89" s="4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72"/>
    </row>
    <row r="90" spans="1:49" s="32" customFormat="1" x14ac:dyDescent="0.25">
      <c r="A90" s="48"/>
      <c r="B90" s="48">
        <v>11442020</v>
      </c>
      <c r="C90" s="48" t="s">
        <v>349</v>
      </c>
      <c r="D90" s="48"/>
      <c r="E90" s="52" t="s">
        <v>175</v>
      </c>
      <c r="F90" s="52" t="s">
        <v>7</v>
      </c>
      <c r="G90" s="52" t="s">
        <v>36</v>
      </c>
      <c r="H90" s="48" t="s">
        <v>3</v>
      </c>
      <c r="I90" s="53">
        <v>28000</v>
      </c>
      <c r="J90" s="54">
        <v>3000</v>
      </c>
      <c r="K90" s="48"/>
      <c r="L90" s="55">
        <v>0.10714285714285714</v>
      </c>
      <c r="M90" s="52">
        <v>31000</v>
      </c>
      <c r="N90" s="4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72"/>
    </row>
    <row r="91" spans="1:49" s="32" customFormat="1" x14ac:dyDescent="0.25">
      <c r="A91" s="48"/>
      <c r="B91" s="48">
        <v>21792020</v>
      </c>
      <c r="C91" s="48" t="s">
        <v>350</v>
      </c>
      <c r="D91" s="48"/>
      <c r="E91" s="52" t="s">
        <v>175</v>
      </c>
      <c r="F91" s="52" t="s">
        <v>7</v>
      </c>
      <c r="G91" s="52" t="s">
        <v>36</v>
      </c>
      <c r="H91" s="48" t="s">
        <v>3</v>
      </c>
      <c r="I91" s="53">
        <v>28000</v>
      </c>
      <c r="J91" s="54">
        <v>6000</v>
      </c>
      <c r="K91" s="48"/>
      <c r="L91" s="55">
        <v>0.21428571428571427</v>
      </c>
      <c r="M91" s="52">
        <v>34000</v>
      </c>
      <c r="N91" s="4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72"/>
    </row>
    <row r="92" spans="1:49" s="32" customFormat="1" x14ac:dyDescent="0.25">
      <c r="A92" s="48"/>
      <c r="B92" s="48">
        <v>21862020</v>
      </c>
      <c r="C92" s="48" t="s">
        <v>351</v>
      </c>
      <c r="D92" s="48"/>
      <c r="E92" s="52" t="s">
        <v>175</v>
      </c>
      <c r="F92" s="52" t="s">
        <v>7</v>
      </c>
      <c r="G92" s="52" t="s">
        <v>36</v>
      </c>
      <c r="H92" s="48" t="s">
        <v>3</v>
      </c>
      <c r="I92" s="53">
        <v>28000</v>
      </c>
      <c r="J92" s="54">
        <v>5000</v>
      </c>
      <c r="K92" s="48"/>
      <c r="L92" s="55">
        <v>0.17857142857142858</v>
      </c>
      <c r="M92" s="52">
        <v>33000</v>
      </c>
      <c r="N92" s="4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72"/>
    </row>
    <row r="93" spans="1:49" s="32" customFormat="1" x14ac:dyDescent="0.25">
      <c r="A93" s="48"/>
      <c r="B93" s="48">
        <v>11382020</v>
      </c>
      <c r="C93" s="48" t="s">
        <v>352</v>
      </c>
      <c r="D93" s="48"/>
      <c r="E93" s="52" t="s">
        <v>175</v>
      </c>
      <c r="F93" s="52" t="s">
        <v>7</v>
      </c>
      <c r="G93" s="52" t="s">
        <v>36</v>
      </c>
      <c r="H93" s="48" t="s">
        <v>3</v>
      </c>
      <c r="I93" s="53">
        <v>22000</v>
      </c>
      <c r="J93" s="54">
        <v>5000</v>
      </c>
      <c r="K93" s="48"/>
      <c r="L93" s="55">
        <v>0.22727272727272727</v>
      </c>
      <c r="M93" s="52">
        <v>27000</v>
      </c>
      <c r="N93" s="4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72"/>
    </row>
    <row r="94" spans="1:49" s="32" customFormat="1" x14ac:dyDescent="0.25">
      <c r="A94" s="48"/>
      <c r="B94" s="48">
        <v>21692019</v>
      </c>
      <c r="C94" s="48" t="s">
        <v>353</v>
      </c>
      <c r="D94" s="48"/>
      <c r="E94" s="52" t="s">
        <v>175</v>
      </c>
      <c r="F94" s="52" t="s">
        <v>7</v>
      </c>
      <c r="G94" s="52" t="s">
        <v>36</v>
      </c>
      <c r="H94" s="48" t="s">
        <v>27</v>
      </c>
      <c r="I94" s="53">
        <v>11000</v>
      </c>
      <c r="J94" s="54">
        <v>5000</v>
      </c>
      <c r="K94" s="48"/>
      <c r="L94" s="55">
        <v>0.45454545454545453</v>
      </c>
      <c r="M94" s="52">
        <v>16000</v>
      </c>
      <c r="N94" s="4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72"/>
    </row>
    <row r="95" spans="1:49" s="32" customFormat="1" x14ac:dyDescent="0.25">
      <c r="A95" s="48"/>
      <c r="B95" s="48">
        <v>11092018</v>
      </c>
      <c r="C95" s="48" t="s">
        <v>194</v>
      </c>
      <c r="D95" s="48"/>
      <c r="E95" s="52" t="s">
        <v>175</v>
      </c>
      <c r="F95" s="52" t="s">
        <v>7</v>
      </c>
      <c r="G95" s="52" t="s">
        <v>138</v>
      </c>
      <c r="H95" s="48" t="s">
        <v>17</v>
      </c>
      <c r="I95" s="53">
        <v>110000</v>
      </c>
      <c r="J95" s="54">
        <v>30000</v>
      </c>
      <c r="K95" s="48"/>
      <c r="L95" s="55">
        <v>0.27272727272727271</v>
      </c>
      <c r="M95" s="52">
        <v>140000</v>
      </c>
      <c r="N95" s="4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72"/>
    </row>
    <row r="96" spans="1:49" s="32" customFormat="1" x14ac:dyDescent="0.25">
      <c r="A96" s="48"/>
      <c r="B96" s="48">
        <v>30211994</v>
      </c>
      <c r="C96" s="48" t="s">
        <v>64</v>
      </c>
      <c r="D96" s="48"/>
      <c r="E96" s="52" t="s">
        <v>175</v>
      </c>
      <c r="F96" s="52" t="s">
        <v>7</v>
      </c>
      <c r="G96" s="52" t="s">
        <v>138</v>
      </c>
      <c r="H96" s="48" t="s">
        <v>139</v>
      </c>
      <c r="I96" s="53">
        <v>70000</v>
      </c>
      <c r="J96" s="54">
        <v>20000</v>
      </c>
      <c r="K96" s="48"/>
      <c r="L96" s="55">
        <v>0.2857142857142857</v>
      </c>
      <c r="M96" s="52">
        <v>90000</v>
      </c>
      <c r="N96" s="4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72"/>
    </row>
    <row r="97" spans="1:49" s="32" customFormat="1" x14ac:dyDescent="0.25">
      <c r="A97" s="48"/>
      <c r="B97" s="48">
        <v>21032017</v>
      </c>
      <c r="C97" s="48" t="s">
        <v>66</v>
      </c>
      <c r="D97" s="48"/>
      <c r="E97" s="52" t="s">
        <v>175</v>
      </c>
      <c r="F97" s="52" t="s">
        <v>7</v>
      </c>
      <c r="G97" s="52" t="s">
        <v>138</v>
      </c>
      <c r="H97" s="48" t="s">
        <v>8</v>
      </c>
      <c r="I97" s="53">
        <v>26000</v>
      </c>
      <c r="J97" s="54">
        <v>9000</v>
      </c>
      <c r="K97" s="48"/>
      <c r="L97" s="55">
        <v>0.34615384615384615</v>
      </c>
      <c r="M97" s="52">
        <v>35000</v>
      </c>
      <c r="N97" s="4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72"/>
    </row>
    <row r="98" spans="1:49" s="32" customFormat="1" x14ac:dyDescent="0.25">
      <c r="A98" s="48"/>
      <c r="B98" s="48">
        <v>20402006</v>
      </c>
      <c r="C98" s="48" t="s">
        <v>106</v>
      </c>
      <c r="D98" s="48"/>
      <c r="E98" s="52" t="s">
        <v>175</v>
      </c>
      <c r="F98" s="52" t="s">
        <v>7</v>
      </c>
      <c r="G98" s="52" t="s">
        <v>138</v>
      </c>
      <c r="H98" s="48" t="s">
        <v>27</v>
      </c>
      <c r="I98" s="53">
        <v>18000</v>
      </c>
      <c r="J98" s="54">
        <v>3000</v>
      </c>
      <c r="K98" s="48"/>
      <c r="L98" s="55">
        <v>0.16666666666666666</v>
      </c>
      <c r="M98" s="52">
        <v>21000</v>
      </c>
      <c r="N98" s="4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72"/>
    </row>
    <row r="99" spans="1:49" s="32" customFormat="1" x14ac:dyDescent="0.25">
      <c r="A99" s="48"/>
      <c r="B99" s="48">
        <v>10762016</v>
      </c>
      <c r="C99" s="48" t="s">
        <v>74</v>
      </c>
      <c r="D99" s="48"/>
      <c r="E99" s="52" t="s">
        <v>175</v>
      </c>
      <c r="F99" s="52" t="s">
        <v>7</v>
      </c>
      <c r="G99" s="52" t="s">
        <v>146</v>
      </c>
      <c r="H99" s="48" t="s">
        <v>5</v>
      </c>
      <c r="I99" s="53">
        <v>30000</v>
      </c>
      <c r="J99" s="54">
        <v>5000</v>
      </c>
      <c r="K99" s="48"/>
      <c r="L99" s="55">
        <v>0.16666666666666666</v>
      </c>
      <c r="M99" s="52">
        <v>35000</v>
      </c>
      <c r="N99" s="4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72"/>
    </row>
    <row r="100" spans="1:49" s="32" customFormat="1" x14ac:dyDescent="0.25">
      <c r="A100" s="48"/>
      <c r="B100" s="48">
        <v>21762020</v>
      </c>
      <c r="C100" s="48" t="s">
        <v>344</v>
      </c>
      <c r="D100" s="48"/>
      <c r="E100" s="52" t="s">
        <v>175</v>
      </c>
      <c r="F100" s="52" t="s">
        <v>7</v>
      </c>
      <c r="G100" s="52" t="s">
        <v>146</v>
      </c>
      <c r="H100" s="48" t="s">
        <v>4</v>
      </c>
      <c r="I100" s="53">
        <v>60000</v>
      </c>
      <c r="J100" s="54">
        <v>0</v>
      </c>
      <c r="K100" s="48"/>
      <c r="L100" s="55">
        <v>0</v>
      </c>
      <c r="M100" s="52">
        <v>60000</v>
      </c>
      <c r="N100" s="4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72"/>
    </row>
    <row r="101" spans="1:49" s="32" customFormat="1" x14ac:dyDescent="0.25">
      <c r="A101" s="48"/>
      <c r="B101" s="48">
        <v>10062011</v>
      </c>
      <c r="C101" s="48" t="s">
        <v>38</v>
      </c>
      <c r="D101" s="48"/>
      <c r="E101" s="52" t="s">
        <v>175</v>
      </c>
      <c r="F101" s="52" t="s">
        <v>7</v>
      </c>
      <c r="G101" s="52" t="s">
        <v>131</v>
      </c>
      <c r="H101" s="48" t="s">
        <v>268</v>
      </c>
      <c r="I101" s="53">
        <v>150000</v>
      </c>
      <c r="J101" s="54">
        <v>25000</v>
      </c>
      <c r="K101" s="48"/>
      <c r="L101" s="55">
        <v>0.16666666666666666</v>
      </c>
      <c r="M101" s="52">
        <v>175000</v>
      </c>
      <c r="N101" s="4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72"/>
    </row>
    <row r="102" spans="1:49" x14ac:dyDescent="0.25">
      <c r="A102" s="48"/>
      <c r="B102" s="48">
        <v>20042012</v>
      </c>
      <c r="C102" s="48" t="s">
        <v>39</v>
      </c>
      <c r="D102" s="48"/>
      <c r="E102" s="52" t="s">
        <v>175</v>
      </c>
      <c r="F102" s="52" t="s">
        <v>7</v>
      </c>
      <c r="G102" s="52" t="s">
        <v>131</v>
      </c>
      <c r="H102" s="48" t="s">
        <v>270</v>
      </c>
      <c r="I102" s="53">
        <v>120000</v>
      </c>
      <c r="J102" s="54">
        <v>25000</v>
      </c>
      <c r="K102" s="48"/>
      <c r="L102" s="55">
        <v>0.20833333333333334</v>
      </c>
      <c r="M102" s="52">
        <v>145000</v>
      </c>
      <c r="N102" s="48"/>
    </row>
    <row r="103" spans="1:49" x14ac:dyDescent="0.25">
      <c r="A103" s="48"/>
      <c r="B103" s="48">
        <v>10042008</v>
      </c>
      <c r="C103" s="48" t="s">
        <v>126</v>
      </c>
      <c r="D103" s="48"/>
      <c r="E103" s="52" t="s">
        <v>175</v>
      </c>
      <c r="F103" s="52" t="s">
        <v>7</v>
      </c>
      <c r="G103" s="52" t="s">
        <v>131</v>
      </c>
      <c r="H103" s="48" t="s">
        <v>271</v>
      </c>
      <c r="I103" s="53">
        <v>120000</v>
      </c>
      <c r="J103" s="54">
        <v>25000</v>
      </c>
      <c r="K103" s="48"/>
      <c r="L103" s="55">
        <v>0.20833333333333334</v>
      </c>
      <c r="M103" s="52">
        <v>145000</v>
      </c>
      <c r="N103" s="48"/>
    </row>
    <row r="104" spans="1:49" x14ac:dyDescent="0.25">
      <c r="A104" s="48"/>
      <c r="B104" s="48">
        <v>10052012</v>
      </c>
      <c r="C104" s="48" t="s">
        <v>40</v>
      </c>
      <c r="D104" s="48"/>
      <c r="E104" s="52" t="s">
        <v>175</v>
      </c>
      <c r="F104" s="52" t="s">
        <v>7</v>
      </c>
      <c r="G104" s="52" t="s">
        <v>131</v>
      </c>
      <c r="H104" s="48" t="s">
        <v>272</v>
      </c>
      <c r="I104" s="53">
        <v>110000</v>
      </c>
      <c r="J104" s="54">
        <v>40000</v>
      </c>
      <c r="K104" s="48"/>
      <c r="L104" s="55">
        <v>0.36363636363636365</v>
      </c>
      <c r="M104" s="52">
        <v>150000</v>
      </c>
      <c r="N104" s="48"/>
    </row>
    <row r="105" spans="1:49" x14ac:dyDescent="0.25">
      <c r="A105" s="48"/>
      <c r="B105" s="48">
        <v>21072016</v>
      </c>
      <c r="C105" s="48" t="s">
        <v>41</v>
      </c>
      <c r="D105" s="48"/>
      <c r="E105" s="52" t="s">
        <v>175</v>
      </c>
      <c r="F105" s="52" t="s">
        <v>7</v>
      </c>
      <c r="G105" s="52" t="s">
        <v>131</v>
      </c>
      <c r="H105" s="48" t="s">
        <v>21</v>
      </c>
      <c r="I105" s="53">
        <v>58000</v>
      </c>
      <c r="J105" s="54">
        <v>10000</v>
      </c>
      <c r="K105" s="48"/>
      <c r="L105" s="55">
        <v>0.17241379310344829</v>
      </c>
      <c r="M105" s="52">
        <v>68000</v>
      </c>
      <c r="N105" s="48"/>
    </row>
    <row r="106" spans="1:49" x14ac:dyDescent="0.25">
      <c r="A106" s="48"/>
      <c r="B106" s="48">
        <v>10132009</v>
      </c>
      <c r="C106" s="48" t="s">
        <v>42</v>
      </c>
      <c r="D106" s="48"/>
      <c r="E106" s="52" t="s">
        <v>175</v>
      </c>
      <c r="F106" s="52" t="s">
        <v>7</v>
      </c>
      <c r="G106" s="52" t="s">
        <v>131</v>
      </c>
      <c r="H106" s="48" t="s">
        <v>21</v>
      </c>
      <c r="I106" s="53">
        <v>50000</v>
      </c>
      <c r="J106" s="54">
        <v>10000</v>
      </c>
      <c r="K106" s="48"/>
      <c r="L106" s="55">
        <v>0.2</v>
      </c>
      <c r="M106" s="52">
        <v>60000</v>
      </c>
      <c r="N106" s="48"/>
    </row>
    <row r="107" spans="1:49" x14ac:dyDescent="0.25">
      <c r="A107" s="48"/>
      <c r="B107" s="48">
        <v>10182011</v>
      </c>
      <c r="C107" s="48" t="s">
        <v>152</v>
      </c>
      <c r="D107" s="48"/>
      <c r="E107" s="52" t="s">
        <v>175</v>
      </c>
      <c r="F107" s="52" t="s">
        <v>7</v>
      </c>
      <c r="G107" s="52" t="s">
        <v>131</v>
      </c>
      <c r="H107" s="48" t="s">
        <v>9</v>
      </c>
      <c r="I107" s="53">
        <v>40000</v>
      </c>
      <c r="J107" s="54">
        <v>10000</v>
      </c>
      <c r="K107" s="48"/>
      <c r="L107" s="55">
        <v>0.25</v>
      </c>
      <c r="M107" s="52">
        <v>50000</v>
      </c>
      <c r="N107" s="48"/>
    </row>
    <row r="108" spans="1:49" x14ac:dyDescent="0.25">
      <c r="A108" s="48"/>
      <c r="B108" s="48">
        <v>11282018</v>
      </c>
      <c r="C108" s="48" t="s">
        <v>219</v>
      </c>
      <c r="D108" s="48"/>
      <c r="E108" s="52" t="s">
        <v>175</v>
      </c>
      <c r="F108" s="52" t="s">
        <v>7</v>
      </c>
      <c r="G108" s="52" t="s">
        <v>131</v>
      </c>
      <c r="H108" s="48" t="s">
        <v>21</v>
      </c>
      <c r="I108" s="53">
        <v>42000</v>
      </c>
      <c r="J108" s="54">
        <v>8000</v>
      </c>
      <c r="K108" s="48"/>
      <c r="L108" s="55">
        <v>0.19047619047619047</v>
      </c>
      <c r="M108" s="52">
        <v>50000</v>
      </c>
      <c r="N108" s="48"/>
    </row>
    <row r="109" spans="1:49" x14ac:dyDescent="0.25">
      <c r="A109" s="48"/>
      <c r="B109" s="48">
        <v>11392020</v>
      </c>
      <c r="C109" s="48" t="s">
        <v>340</v>
      </c>
      <c r="D109" s="48"/>
      <c r="E109" s="52" t="s">
        <v>175</v>
      </c>
      <c r="F109" s="52" t="s">
        <v>7</v>
      </c>
      <c r="G109" s="52" t="s">
        <v>131</v>
      </c>
      <c r="H109" s="48" t="s">
        <v>273</v>
      </c>
      <c r="I109" s="53">
        <v>90000</v>
      </c>
      <c r="J109" s="54">
        <v>10000</v>
      </c>
      <c r="K109" s="48"/>
      <c r="L109" s="55">
        <v>0.1111111111111111</v>
      </c>
      <c r="M109" s="52">
        <v>100000</v>
      </c>
      <c r="N109" s="48"/>
    </row>
    <row r="110" spans="1:49" x14ac:dyDescent="0.25">
      <c r="A110" s="48"/>
      <c r="B110" s="48">
        <v>11302019</v>
      </c>
      <c r="C110" s="48" t="s">
        <v>223</v>
      </c>
      <c r="D110" s="48"/>
      <c r="E110" s="52" t="s">
        <v>175</v>
      </c>
      <c r="F110" s="52" t="s">
        <v>7</v>
      </c>
      <c r="G110" s="52" t="s">
        <v>131</v>
      </c>
      <c r="H110" s="48" t="s">
        <v>21</v>
      </c>
      <c r="I110" s="53">
        <v>39000</v>
      </c>
      <c r="J110" s="54">
        <v>10000</v>
      </c>
      <c r="K110" s="48"/>
      <c r="L110" s="55">
        <v>0.25641025641025639</v>
      </c>
      <c r="M110" s="52">
        <v>49000</v>
      </c>
      <c r="N110" s="48"/>
    </row>
    <row r="111" spans="1:49" x14ac:dyDescent="0.25">
      <c r="A111" s="48"/>
      <c r="B111" s="48">
        <v>30150000</v>
      </c>
      <c r="C111" s="48" t="s">
        <v>67</v>
      </c>
      <c r="D111" s="48"/>
      <c r="E111" s="52" t="s">
        <v>175</v>
      </c>
      <c r="F111" s="52" t="s">
        <v>7</v>
      </c>
      <c r="G111" s="52" t="s">
        <v>32</v>
      </c>
      <c r="H111" s="48" t="s">
        <v>33</v>
      </c>
      <c r="I111" s="53">
        <v>90000</v>
      </c>
      <c r="J111" s="54">
        <v>10000</v>
      </c>
      <c r="K111" s="48"/>
      <c r="L111" s="55">
        <v>0.1111111111111111</v>
      </c>
      <c r="M111" s="52">
        <v>100000</v>
      </c>
      <c r="N111" s="48"/>
    </row>
    <row r="112" spans="1:49" x14ac:dyDescent="0.25">
      <c r="A112" s="48"/>
      <c r="B112" s="48">
        <v>10242004</v>
      </c>
      <c r="C112" s="48" t="s">
        <v>68</v>
      </c>
      <c r="D112" s="48"/>
      <c r="E112" s="52" t="s">
        <v>175</v>
      </c>
      <c r="F112" s="52" t="s">
        <v>7</v>
      </c>
      <c r="G112" s="52" t="s">
        <v>32</v>
      </c>
      <c r="H112" s="48" t="s">
        <v>3</v>
      </c>
      <c r="I112" s="53">
        <v>37000</v>
      </c>
      <c r="J112" s="54">
        <v>5000</v>
      </c>
      <c r="K112" s="48"/>
      <c r="L112" s="55">
        <v>0.13513513513513514</v>
      </c>
      <c r="M112" s="52">
        <v>42000</v>
      </c>
      <c r="N112" s="48"/>
    </row>
    <row r="113" spans="1:49" s="32" customFormat="1" x14ac:dyDescent="0.25">
      <c r="A113" s="48"/>
      <c r="B113" s="48">
        <v>20922016</v>
      </c>
      <c r="C113" s="48" t="s">
        <v>69</v>
      </c>
      <c r="D113" s="48"/>
      <c r="E113" s="52" t="s">
        <v>175</v>
      </c>
      <c r="F113" s="52" t="s">
        <v>7</v>
      </c>
      <c r="G113" s="52" t="s">
        <v>32</v>
      </c>
      <c r="H113" s="48" t="s">
        <v>6</v>
      </c>
      <c r="I113" s="53">
        <v>28000</v>
      </c>
      <c r="J113" s="54">
        <v>6000</v>
      </c>
      <c r="K113" s="48"/>
      <c r="L113" s="55">
        <v>0.21428571428571427</v>
      </c>
      <c r="M113" s="52">
        <v>34000</v>
      </c>
      <c r="N113" s="4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72"/>
    </row>
    <row r="114" spans="1:49" s="32" customFormat="1" x14ac:dyDescent="0.25">
      <c r="A114" s="48"/>
      <c r="B114" s="48">
        <v>10852017</v>
      </c>
      <c r="C114" s="48" t="s">
        <v>70</v>
      </c>
      <c r="D114" s="48"/>
      <c r="E114" s="52" t="s">
        <v>175</v>
      </c>
      <c r="F114" s="52" t="s">
        <v>7</v>
      </c>
      <c r="G114" s="52" t="s">
        <v>32</v>
      </c>
      <c r="H114" s="48" t="s">
        <v>3</v>
      </c>
      <c r="I114" s="53">
        <v>31000</v>
      </c>
      <c r="J114" s="54">
        <v>5000</v>
      </c>
      <c r="K114" s="48"/>
      <c r="L114" s="55">
        <v>0.16129032258064516</v>
      </c>
      <c r="M114" s="52">
        <v>36000</v>
      </c>
      <c r="N114" s="4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72"/>
    </row>
    <row r="115" spans="1:49" s="32" customFormat="1" x14ac:dyDescent="0.25">
      <c r="A115" s="48"/>
      <c r="B115" s="48">
        <v>20242005</v>
      </c>
      <c r="C115" s="48" t="s">
        <v>71</v>
      </c>
      <c r="D115" s="48"/>
      <c r="E115" s="52" t="s">
        <v>175</v>
      </c>
      <c r="F115" s="52" t="s">
        <v>7</v>
      </c>
      <c r="G115" s="52" t="s">
        <v>32</v>
      </c>
      <c r="H115" s="48" t="s">
        <v>5</v>
      </c>
      <c r="I115" s="53">
        <v>36000</v>
      </c>
      <c r="J115" s="54">
        <v>5000</v>
      </c>
      <c r="K115" s="48"/>
      <c r="L115" s="55">
        <v>0.1388888888888889</v>
      </c>
      <c r="M115" s="52">
        <v>41000</v>
      </c>
      <c r="N115" s="4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72"/>
    </row>
    <row r="116" spans="1:49" s="32" customFormat="1" x14ac:dyDescent="0.25">
      <c r="A116" s="48"/>
      <c r="B116" s="48">
        <v>10982017</v>
      </c>
      <c r="C116" s="48" t="s">
        <v>72</v>
      </c>
      <c r="D116" s="48"/>
      <c r="E116" s="52" t="s">
        <v>175</v>
      </c>
      <c r="F116" s="52" t="s">
        <v>7</v>
      </c>
      <c r="G116" s="52" t="s">
        <v>32</v>
      </c>
      <c r="H116" s="48" t="s">
        <v>4</v>
      </c>
      <c r="I116" s="53">
        <v>26000</v>
      </c>
      <c r="J116" s="54">
        <v>5000</v>
      </c>
      <c r="K116" s="48"/>
      <c r="L116" s="55">
        <v>0.19230769230769232</v>
      </c>
      <c r="M116" s="52">
        <v>31000</v>
      </c>
      <c r="N116" s="4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72"/>
    </row>
    <row r="117" spans="1:49" s="32" customFormat="1" x14ac:dyDescent="0.25">
      <c r="A117" s="48"/>
      <c r="B117" s="48">
        <v>21472019</v>
      </c>
      <c r="C117" s="48" t="s">
        <v>222</v>
      </c>
      <c r="D117" s="48"/>
      <c r="E117" s="52" t="s">
        <v>175</v>
      </c>
      <c r="F117" s="52" t="s">
        <v>7</v>
      </c>
      <c r="G117" s="52" t="s">
        <v>32</v>
      </c>
      <c r="H117" s="48" t="s">
        <v>5</v>
      </c>
      <c r="I117" s="53">
        <v>35000</v>
      </c>
      <c r="J117" s="54">
        <v>6000</v>
      </c>
      <c r="K117" s="48"/>
      <c r="L117" s="55">
        <v>0.17142857142857143</v>
      </c>
      <c r="M117" s="52">
        <v>41000</v>
      </c>
      <c r="N117" s="4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72"/>
    </row>
    <row r="118" spans="1:49" s="32" customFormat="1" x14ac:dyDescent="0.25">
      <c r="A118" s="48"/>
      <c r="B118" s="48">
        <v>11472020</v>
      </c>
      <c r="C118" s="48" t="s">
        <v>343</v>
      </c>
      <c r="D118" s="48"/>
      <c r="E118" s="52" t="s">
        <v>175</v>
      </c>
      <c r="F118" s="52" t="s">
        <v>7</v>
      </c>
      <c r="G118" s="52" t="s">
        <v>32</v>
      </c>
      <c r="H118" s="48" t="s">
        <v>3</v>
      </c>
      <c r="I118" s="53">
        <v>22000</v>
      </c>
      <c r="J118" s="54">
        <v>0</v>
      </c>
      <c r="K118" s="48"/>
      <c r="L118" s="55">
        <v>0</v>
      </c>
      <c r="M118" s="52">
        <v>22000</v>
      </c>
      <c r="N118" s="4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72"/>
    </row>
    <row r="119" spans="1:49" s="32" customFormat="1" x14ac:dyDescent="0.25">
      <c r="A119" s="48"/>
      <c r="B119" s="48">
        <v>11462020</v>
      </c>
      <c r="C119" s="48" t="s">
        <v>357</v>
      </c>
      <c r="D119" s="48"/>
      <c r="E119" s="52" t="s">
        <v>175</v>
      </c>
      <c r="F119" s="52" t="s">
        <v>7</v>
      </c>
      <c r="G119" s="52" t="s">
        <v>281</v>
      </c>
      <c r="H119" s="48" t="s">
        <v>21</v>
      </c>
      <c r="I119" s="53">
        <v>50000</v>
      </c>
      <c r="J119" s="54">
        <v>0</v>
      </c>
      <c r="K119" s="48"/>
      <c r="L119" s="55">
        <v>0</v>
      </c>
      <c r="M119" s="52">
        <v>50000</v>
      </c>
      <c r="N119" s="4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72"/>
    </row>
    <row r="120" spans="1:49" s="32" customFormat="1" x14ac:dyDescent="0.25">
      <c r="A120" s="48"/>
      <c r="B120" s="48">
        <v>21252018</v>
      </c>
      <c r="C120" s="48" t="s">
        <v>210</v>
      </c>
      <c r="D120" s="48"/>
      <c r="E120" s="52" t="s">
        <v>175</v>
      </c>
      <c r="F120" s="52" t="s">
        <v>7</v>
      </c>
      <c r="G120" s="52" t="s">
        <v>211</v>
      </c>
      <c r="H120" s="48" t="s">
        <v>212</v>
      </c>
      <c r="I120" s="53">
        <v>19000</v>
      </c>
      <c r="J120" s="54">
        <v>1000</v>
      </c>
      <c r="K120" s="48"/>
      <c r="L120" s="55">
        <v>5.2631578947368418E-2</v>
      </c>
      <c r="M120" s="52">
        <v>20000</v>
      </c>
      <c r="N120" s="48" t="s">
        <v>285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72"/>
    </row>
    <row r="121" spans="1:49" s="32" customFormat="1" x14ac:dyDescent="0.25">
      <c r="A121" s="48"/>
      <c r="B121" s="48">
        <v>20522011</v>
      </c>
      <c r="C121" s="48" t="s">
        <v>214</v>
      </c>
      <c r="D121" s="48"/>
      <c r="E121" s="52" t="s">
        <v>175</v>
      </c>
      <c r="F121" s="52" t="s">
        <v>7</v>
      </c>
      <c r="G121" s="52" t="s">
        <v>211</v>
      </c>
      <c r="H121" s="48" t="s">
        <v>212</v>
      </c>
      <c r="I121" s="53">
        <v>19000</v>
      </c>
      <c r="J121" s="54">
        <v>1000</v>
      </c>
      <c r="K121" s="48"/>
      <c r="L121" s="55">
        <v>5.2631578947368418E-2</v>
      </c>
      <c r="M121" s="52">
        <v>20000</v>
      </c>
      <c r="N121" s="48" t="s">
        <v>285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72"/>
    </row>
    <row r="122" spans="1:49" s="32" customFormat="1" x14ac:dyDescent="0.25">
      <c r="A122" s="48"/>
      <c r="B122" s="48">
        <v>21242018</v>
      </c>
      <c r="C122" s="48" t="s">
        <v>215</v>
      </c>
      <c r="D122" s="48"/>
      <c r="E122" s="52" t="s">
        <v>175</v>
      </c>
      <c r="F122" s="52" t="s">
        <v>7</v>
      </c>
      <c r="G122" s="52" t="s">
        <v>211</v>
      </c>
      <c r="H122" s="48" t="s">
        <v>212</v>
      </c>
      <c r="I122" s="53">
        <v>19000</v>
      </c>
      <c r="J122" s="54">
        <v>1000</v>
      </c>
      <c r="K122" s="48"/>
      <c r="L122" s="55">
        <v>5.2631578947368418E-2</v>
      </c>
      <c r="M122" s="52">
        <v>20000</v>
      </c>
      <c r="N122" s="48" t="s">
        <v>285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72"/>
    </row>
    <row r="123" spans="1:49" s="32" customFormat="1" x14ac:dyDescent="0.25">
      <c r="A123" s="48"/>
      <c r="B123" s="48">
        <v>10612015</v>
      </c>
      <c r="C123" s="48" t="s">
        <v>216</v>
      </c>
      <c r="D123" s="48"/>
      <c r="E123" s="52" t="s">
        <v>175</v>
      </c>
      <c r="F123" s="52" t="s">
        <v>7</v>
      </c>
      <c r="G123" s="52" t="s">
        <v>211</v>
      </c>
      <c r="H123" s="48" t="s">
        <v>212</v>
      </c>
      <c r="I123" s="53">
        <v>19000</v>
      </c>
      <c r="J123" s="54">
        <v>1000</v>
      </c>
      <c r="K123" s="48"/>
      <c r="L123" s="55">
        <v>5.2631578947368418E-2</v>
      </c>
      <c r="M123" s="52">
        <v>20000</v>
      </c>
      <c r="N123" s="48" t="s">
        <v>285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72"/>
    </row>
    <row r="124" spans="1:49" s="32" customFormat="1" x14ac:dyDescent="0.25">
      <c r="A124" s="48"/>
      <c r="B124" s="48">
        <v>21642019</v>
      </c>
      <c r="C124" s="48" t="s">
        <v>365</v>
      </c>
      <c r="D124" s="48"/>
      <c r="E124" s="52" t="s">
        <v>175</v>
      </c>
      <c r="F124" s="52" t="s">
        <v>7</v>
      </c>
      <c r="G124" s="52" t="s">
        <v>211</v>
      </c>
      <c r="H124" s="48" t="s">
        <v>212</v>
      </c>
      <c r="I124" s="53">
        <v>19000</v>
      </c>
      <c r="J124" s="54">
        <v>1000</v>
      </c>
      <c r="K124" s="48"/>
      <c r="L124" s="55">
        <v>5.2631578947368418E-2</v>
      </c>
      <c r="M124" s="52">
        <v>20000</v>
      </c>
      <c r="N124" s="48" t="s">
        <v>285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72"/>
    </row>
    <row r="125" spans="1:49" s="32" customFormat="1" x14ac:dyDescent="0.25">
      <c r="A125" s="48"/>
      <c r="B125" s="48">
        <v>21562019</v>
      </c>
      <c r="C125" s="48" t="s">
        <v>366</v>
      </c>
      <c r="D125" s="48"/>
      <c r="E125" s="52" t="s">
        <v>175</v>
      </c>
      <c r="F125" s="52" t="s">
        <v>7</v>
      </c>
      <c r="G125" s="52" t="s">
        <v>211</v>
      </c>
      <c r="H125" s="48" t="s">
        <v>212</v>
      </c>
      <c r="I125" s="53">
        <v>19000</v>
      </c>
      <c r="J125" s="54">
        <v>1000</v>
      </c>
      <c r="K125" s="48"/>
      <c r="L125" s="55">
        <v>5.2631578947368418E-2</v>
      </c>
      <c r="M125" s="52">
        <v>20000</v>
      </c>
      <c r="N125" s="48" t="s">
        <v>285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72"/>
    </row>
    <row r="126" spans="1:49" x14ac:dyDescent="0.25">
      <c r="A126" s="48"/>
      <c r="B126" s="48">
        <v>21622019</v>
      </c>
      <c r="C126" s="48" t="s">
        <v>367</v>
      </c>
      <c r="D126" s="48"/>
      <c r="E126" s="52" t="s">
        <v>175</v>
      </c>
      <c r="F126" s="52" t="s">
        <v>7</v>
      </c>
      <c r="G126" s="52" t="s">
        <v>211</v>
      </c>
      <c r="H126" s="48" t="s">
        <v>212</v>
      </c>
      <c r="I126" s="53">
        <v>19000</v>
      </c>
      <c r="J126" s="54">
        <v>1000</v>
      </c>
      <c r="K126" s="48"/>
      <c r="L126" s="55">
        <v>5.2631578947368418E-2</v>
      </c>
      <c r="M126" s="52">
        <v>20000</v>
      </c>
      <c r="N126" s="48" t="s">
        <v>285</v>
      </c>
    </row>
    <row r="127" spans="1:49" x14ac:dyDescent="0.25">
      <c r="A127" s="48"/>
      <c r="B127" s="48">
        <v>21632019</v>
      </c>
      <c r="C127" s="48" t="s">
        <v>368</v>
      </c>
      <c r="D127" s="48"/>
      <c r="E127" s="52" t="s">
        <v>175</v>
      </c>
      <c r="F127" s="52" t="s">
        <v>7</v>
      </c>
      <c r="G127" s="52" t="s">
        <v>211</v>
      </c>
      <c r="H127" s="48" t="s">
        <v>212</v>
      </c>
      <c r="I127" s="53">
        <v>19000</v>
      </c>
      <c r="J127" s="54">
        <v>1000</v>
      </c>
      <c r="K127" s="48"/>
      <c r="L127" s="55">
        <v>5.2631578947368418E-2</v>
      </c>
      <c r="M127" s="52">
        <v>20000</v>
      </c>
      <c r="N127" s="48" t="s">
        <v>285</v>
      </c>
    </row>
    <row r="128" spans="1:49" x14ac:dyDescent="0.25">
      <c r="A128" s="48"/>
      <c r="B128" s="48">
        <v>21682019</v>
      </c>
      <c r="C128" s="48" t="s">
        <v>369</v>
      </c>
      <c r="D128" s="48"/>
      <c r="E128" s="52" t="s">
        <v>175</v>
      </c>
      <c r="F128" s="52" t="s">
        <v>7</v>
      </c>
      <c r="G128" s="52" t="s">
        <v>211</v>
      </c>
      <c r="H128" s="48" t="s">
        <v>212</v>
      </c>
      <c r="I128" s="53">
        <v>19000</v>
      </c>
      <c r="J128" s="54">
        <v>1000</v>
      </c>
      <c r="K128" s="48"/>
      <c r="L128" s="55">
        <v>5.2631578947368418E-2</v>
      </c>
      <c r="M128" s="52">
        <v>20000</v>
      </c>
      <c r="N128" s="48" t="s">
        <v>285</v>
      </c>
    </row>
    <row r="129" spans="1:49" x14ac:dyDescent="0.25">
      <c r="A129" s="48"/>
      <c r="B129" s="48">
        <v>21862021</v>
      </c>
      <c r="C129" s="48" t="s">
        <v>286</v>
      </c>
      <c r="D129" s="48"/>
      <c r="E129" s="52" t="s">
        <v>175</v>
      </c>
      <c r="F129" s="52" t="s">
        <v>7</v>
      </c>
      <c r="G129" s="52" t="s">
        <v>211</v>
      </c>
      <c r="H129" s="48" t="s">
        <v>212</v>
      </c>
      <c r="I129" s="53">
        <v>19000</v>
      </c>
      <c r="J129" s="54">
        <v>1000</v>
      </c>
      <c r="K129" s="48"/>
      <c r="L129" s="55">
        <v>5.2631578947368418E-2</v>
      </c>
      <c r="M129" s="52">
        <v>20000</v>
      </c>
      <c r="N129" s="48" t="s">
        <v>285</v>
      </c>
    </row>
    <row r="130" spans="1:49" x14ac:dyDescent="0.25">
      <c r="A130" s="48"/>
      <c r="B130" s="48">
        <v>21532019</v>
      </c>
      <c r="C130" s="48" t="s">
        <v>370</v>
      </c>
      <c r="D130" s="48"/>
      <c r="E130" s="52" t="s">
        <v>175</v>
      </c>
      <c r="F130" s="52" t="s">
        <v>7</v>
      </c>
      <c r="G130" s="52" t="s">
        <v>211</v>
      </c>
      <c r="H130" s="48" t="s">
        <v>212</v>
      </c>
      <c r="I130" s="53">
        <v>18000</v>
      </c>
      <c r="J130" s="54">
        <v>2000</v>
      </c>
      <c r="K130" s="48"/>
      <c r="L130" s="55">
        <v>0.1111111111111111</v>
      </c>
      <c r="M130" s="52">
        <v>20000</v>
      </c>
      <c r="N130" s="48" t="s">
        <v>285</v>
      </c>
    </row>
    <row r="131" spans="1:49" x14ac:dyDescent="0.25">
      <c r="A131" s="48"/>
      <c r="B131" s="48">
        <v>21832020</v>
      </c>
      <c r="C131" s="48" t="s">
        <v>371</v>
      </c>
      <c r="D131" s="48"/>
      <c r="E131" s="52" t="s">
        <v>175</v>
      </c>
      <c r="F131" s="52" t="s">
        <v>7</v>
      </c>
      <c r="G131" s="52" t="s">
        <v>211</v>
      </c>
      <c r="H131" s="48" t="s">
        <v>212</v>
      </c>
      <c r="I131" s="53">
        <v>18000</v>
      </c>
      <c r="J131" s="54">
        <v>2000</v>
      </c>
      <c r="K131" s="48"/>
      <c r="L131" s="55">
        <v>0.1111111111111111</v>
      </c>
      <c r="M131" s="52">
        <v>20000</v>
      </c>
      <c r="N131" s="48" t="s">
        <v>285</v>
      </c>
    </row>
    <row r="132" spans="1:49" x14ac:dyDescent="0.25">
      <c r="A132" s="48"/>
      <c r="B132" s="48">
        <v>21782020</v>
      </c>
      <c r="C132" s="48" t="s">
        <v>372</v>
      </c>
      <c r="D132" s="48"/>
      <c r="E132" s="52" t="s">
        <v>175</v>
      </c>
      <c r="F132" s="52" t="s">
        <v>7</v>
      </c>
      <c r="G132" s="52" t="s">
        <v>211</v>
      </c>
      <c r="H132" s="48" t="s">
        <v>212</v>
      </c>
      <c r="I132" s="53">
        <v>18000</v>
      </c>
      <c r="J132" s="54">
        <v>1000</v>
      </c>
      <c r="K132" s="48"/>
      <c r="L132" s="55">
        <v>5.5555555555555552E-2</v>
      </c>
      <c r="M132" s="52">
        <v>19000</v>
      </c>
      <c r="N132" s="48" t="s">
        <v>287</v>
      </c>
    </row>
    <row r="133" spans="1:49" x14ac:dyDescent="0.25">
      <c r="A133" s="48"/>
      <c r="B133" s="48">
        <v>21732020</v>
      </c>
      <c r="C133" s="48" t="s">
        <v>373</v>
      </c>
      <c r="D133" s="48"/>
      <c r="E133" s="52" t="s">
        <v>175</v>
      </c>
      <c r="F133" s="52" t="s">
        <v>7</v>
      </c>
      <c r="G133" s="52" t="s">
        <v>211</v>
      </c>
      <c r="H133" s="48" t="s">
        <v>212</v>
      </c>
      <c r="I133" s="53">
        <v>17000</v>
      </c>
      <c r="J133" s="54">
        <v>2000</v>
      </c>
      <c r="K133" s="48"/>
      <c r="L133" s="55">
        <v>0.11764705882352941</v>
      </c>
      <c r="M133" s="52">
        <v>19000</v>
      </c>
      <c r="N133" s="48" t="s">
        <v>287</v>
      </c>
    </row>
    <row r="134" spans="1:49" x14ac:dyDescent="0.25">
      <c r="A134" s="48"/>
      <c r="B134" s="48">
        <v>21422018</v>
      </c>
      <c r="C134" s="48" t="s">
        <v>204</v>
      </c>
      <c r="D134" s="48"/>
      <c r="E134" s="52" t="s">
        <v>175</v>
      </c>
      <c r="F134" s="52" t="s">
        <v>7</v>
      </c>
      <c r="G134" s="52" t="s">
        <v>282</v>
      </c>
      <c r="H134" s="48" t="s">
        <v>205</v>
      </c>
      <c r="I134" s="53">
        <v>16000</v>
      </c>
      <c r="J134" s="54">
        <v>2000</v>
      </c>
      <c r="K134" s="48"/>
      <c r="L134" s="55">
        <v>0.125</v>
      </c>
      <c r="M134" s="52">
        <v>18000</v>
      </c>
      <c r="N134" s="48"/>
    </row>
    <row r="135" spans="1:49" x14ac:dyDescent="0.25">
      <c r="A135" s="48"/>
      <c r="B135" s="48">
        <v>30482016</v>
      </c>
      <c r="C135" s="48" t="s">
        <v>360</v>
      </c>
      <c r="D135" s="48"/>
      <c r="E135" s="52" t="s">
        <v>175</v>
      </c>
      <c r="F135" s="52" t="s">
        <v>7</v>
      </c>
      <c r="G135" s="52" t="s">
        <v>282</v>
      </c>
      <c r="H135" s="48" t="s">
        <v>283</v>
      </c>
      <c r="I135" s="53">
        <v>23000</v>
      </c>
      <c r="J135" s="54">
        <v>2000</v>
      </c>
      <c r="K135" s="48"/>
      <c r="L135" s="55">
        <v>8.6956521739130432E-2</v>
      </c>
      <c r="M135" s="52">
        <v>25000</v>
      </c>
      <c r="N135" s="48"/>
    </row>
    <row r="136" spans="1:49" x14ac:dyDescent="0.25">
      <c r="A136" s="48"/>
      <c r="B136" s="48"/>
      <c r="C136" s="48"/>
      <c r="D136" s="48"/>
      <c r="E136" s="52"/>
      <c r="F136" s="52"/>
      <c r="G136" s="52"/>
      <c r="H136" s="48"/>
      <c r="I136" s="53"/>
      <c r="J136" s="54"/>
      <c r="K136" s="48"/>
      <c r="L136" s="55"/>
      <c r="M136" s="52"/>
      <c r="N136" s="48"/>
    </row>
    <row r="137" spans="1:49" x14ac:dyDescent="0.25">
      <c r="A137" s="48"/>
      <c r="B137" s="56">
        <v>10582015</v>
      </c>
      <c r="C137" s="56" t="s">
        <v>110</v>
      </c>
      <c r="D137" s="56"/>
      <c r="E137" s="57" t="s">
        <v>175</v>
      </c>
      <c r="F137" s="57" t="s">
        <v>201</v>
      </c>
      <c r="G137" s="57" t="s">
        <v>20</v>
      </c>
      <c r="H137" s="56" t="s">
        <v>27</v>
      </c>
      <c r="I137" s="58">
        <v>14000</v>
      </c>
      <c r="J137" s="59">
        <v>2000</v>
      </c>
      <c r="K137" s="56"/>
      <c r="L137" s="60">
        <v>0.14285714285714285</v>
      </c>
      <c r="M137" s="57">
        <v>16000</v>
      </c>
      <c r="N137" s="56"/>
    </row>
    <row r="138" spans="1:49" x14ac:dyDescent="0.25">
      <c r="A138" s="48"/>
      <c r="B138" s="56">
        <v>20792016</v>
      </c>
      <c r="C138" s="56" t="s">
        <v>111</v>
      </c>
      <c r="D138" s="56"/>
      <c r="E138" s="57" t="s">
        <v>175</v>
      </c>
      <c r="F138" s="57" t="s">
        <v>201</v>
      </c>
      <c r="G138" s="57" t="s">
        <v>20</v>
      </c>
      <c r="H138" s="56" t="s">
        <v>27</v>
      </c>
      <c r="I138" s="58">
        <v>14000</v>
      </c>
      <c r="J138" s="59">
        <v>2000</v>
      </c>
      <c r="K138" s="56"/>
      <c r="L138" s="60">
        <v>0.14285714285714285</v>
      </c>
      <c r="M138" s="57">
        <v>16000</v>
      </c>
      <c r="N138" s="56"/>
    </row>
    <row r="139" spans="1:49" x14ac:dyDescent="0.25">
      <c r="A139" s="48"/>
      <c r="B139" s="56">
        <v>21122017</v>
      </c>
      <c r="C139" s="56" t="s">
        <v>114</v>
      </c>
      <c r="D139" s="56"/>
      <c r="E139" s="57" t="s">
        <v>175</v>
      </c>
      <c r="F139" s="57" t="s">
        <v>201</v>
      </c>
      <c r="G139" s="57" t="s">
        <v>20</v>
      </c>
      <c r="H139" s="56" t="s">
        <v>27</v>
      </c>
      <c r="I139" s="58">
        <v>14000</v>
      </c>
      <c r="J139" s="59">
        <v>2000</v>
      </c>
      <c r="K139" s="56"/>
      <c r="L139" s="60">
        <v>0.14285714285714285</v>
      </c>
      <c r="M139" s="57">
        <v>16000</v>
      </c>
      <c r="N139" s="56"/>
    </row>
    <row r="140" spans="1:49" x14ac:dyDescent="0.25">
      <c r="A140" s="48"/>
      <c r="B140" s="56">
        <v>21392018</v>
      </c>
      <c r="C140" s="56" t="s">
        <v>57</v>
      </c>
      <c r="D140" s="56"/>
      <c r="E140" s="57" t="s">
        <v>175</v>
      </c>
      <c r="F140" s="57" t="s">
        <v>201</v>
      </c>
      <c r="G140" s="57" t="s">
        <v>20</v>
      </c>
      <c r="H140" s="56" t="s">
        <v>27</v>
      </c>
      <c r="I140" s="58">
        <v>14000</v>
      </c>
      <c r="J140" s="59">
        <v>2000</v>
      </c>
      <c r="K140" s="56"/>
      <c r="L140" s="60">
        <v>0.14285714285714285</v>
      </c>
      <c r="M140" s="57">
        <v>16000</v>
      </c>
      <c r="N140" s="56"/>
    </row>
    <row r="141" spans="1:49" x14ac:dyDescent="0.25">
      <c r="A141" s="48"/>
      <c r="B141" s="56">
        <v>40332018</v>
      </c>
      <c r="C141" s="56" t="s">
        <v>302</v>
      </c>
      <c r="D141" s="56"/>
      <c r="E141" s="57" t="s">
        <v>175</v>
      </c>
      <c r="F141" s="57" t="s">
        <v>201</v>
      </c>
      <c r="G141" s="57" t="s">
        <v>20</v>
      </c>
      <c r="H141" s="56" t="s">
        <v>29</v>
      </c>
      <c r="I141" s="58">
        <v>15000</v>
      </c>
      <c r="J141" s="59">
        <v>2000</v>
      </c>
      <c r="K141" s="56"/>
      <c r="L141" s="60">
        <v>0.13333333333333333</v>
      </c>
      <c r="M141" s="57">
        <v>17000</v>
      </c>
      <c r="N141" s="56"/>
    </row>
    <row r="142" spans="1:49" s="32" customFormat="1" x14ac:dyDescent="0.25">
      <c r="A142" s="48"/>
      <c r="B142" s="56">
        <v>40962020</v>
      </c>
      <c r="C142" s="56" t="s">
        <v>259</v>
      </c>
      <c r="D142" s="56"/>
      <c r="E142" s="57" t="s">
        <v>175</v>
      </c>
      <c r="F142" s="57" t="s">
        <v>201</v>
      </c>
      <c r="G142" s="57" t="s">
        <v>20</v>
      </c>
      <c r="H142" s="56" t="s">
        <v>27</v>
      </c>
      <c r="I142" s="58">
        <v>12000</v>
      </c>
      <c r="J142" s="59">
        <v>0</v>
      </c>
      <c r="K142" s="56"/>
      <c r="L142" s="60">
        <v>0</v>
      </c>
      <c r="M142" s="57">
        <v>12000</v>
      </c>
      <c r="N142" s="5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72"/>
    </row>
    <row r="143" spans="1:49" s="32" customFormat="1" x14ac:dyDescent="0.25">
      <c r="A143" s="48"/>
      <c r="B143" s="56">
        <v>40972020</v>
      </c>
      <c r="C143" s="56" t="s">
        <v>314</v>
      </c>
      <c r="D143" s="56"/>
      <c r="E143" s="57" t="s">
        <v>175</v>
      </c>
      <c r="F143" s="57" t="s">
        <v>201</v>
      </c>
      <c r="G143" s="57" t="s">
        <v>20</v>
      </c>
      <c r="H143" s="56" t="s">
        <v>27</v>
      </c>
      <c r="I143" s="58">
        <v>12000</v>
      </c>
      <c r="J143" s="59">
        <v>5000</v>
      </c>
      <c r="K143" s="56"/>
      <c r="L143" s="60">
        <v>0.41666666666666669</v>
      </c>
      <c r="M143" s="57">
        <v>17000</v>
      </c>
      <c r="N143" s="5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72"/>
    </row>
    <row r="144" spans="1:49" s="32" customFormat="1" x14ac:dyDescent="0.25">
      <c r="A144" s="48"/>
      <c r="B144" s="56">
        <v>20812016</v>
      </c>
      <c r="C144" s="56" t="s">
        <v>125</v>
      </c>
      <c r="D144" s="56"/>
      <c r="E144" s="57" t="s">
        <v>175</v>
      </c>
      <c r="F144" s="57" t="s">
        <v>201</v>
      </c>
      <c r="G144" s="57" t="s">
        <v>37</v>
      </c>
      <c r="H144" s="56" t="s">
        <v>5</v>
      </c>
      <c r="I144" s="58">
        <v>45000</v>
      </c>
      <c r="J144" s="59">
        <v>8000</v>
      </c>
      <c r="K144" s="56"/>
      <c r="L144" s="60">
        <v>0.17777777777777778</v>
      </c>
      <c r="M144" s="57">
        <v>53000</v>
      </c>
      <c r="N144" s="5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72"/>
    </row>
    <row r="145" spans="1:49" s="32" customFormat="1" x14ac:dyDescent="0.25">
      <c r="A145" s="48"/>
      <c r="B145" s="56">
        <v>41122020</v>
      </c>
      <c r="C145" s="56" t="s">
        <v>321</v>
      </c>
      <c r="D145" s="56"/>
      <c r="E145" s="57" t="s">
        <v>175</v>
      </c>
      <c r="F145" s="57" t="s">
        <v>201</v>
      </c>
      <c r="G145" s="57" t="s">
        <v>37</v>
      </c>
      <c r="H145" s="56" t="s">
        <v>3</v>
      </c>
      <c r="I145" s="58">
        <v>28000</v>
      </c>
      <c r="J145" s="59">
        <v>0</v>
      </c>
      <c r="K145" s="56"/>
      <c r="L145" s="60">
        <v>0</v>
      </c>
      <c r="M145" s="57">
        <v>28000</v>
      </c>
      <c r="N145" s="5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72"/>
    </row>
    <row r="146" spans="1:49" s="32" customFormat="1" x14ac:dyDescent="0.25">
      <c r="A146" s="48"/>
      <c r="B146" s="56">
        <v>41132020</v>
      </c>
      <c r="C146" s="56" t="s">
        <v>322</v>
      </c>
      <c r="D146" s="56"/>
      <c r="E146" s="57" t="s">
        <v>175</v>
      </c>
      <c r="F146" s="57" t="s">
        <v>201</v>
      </c>
      <c r="G146" s="57" t="s">
        <v>37</v>
      </c>
      <c r="H146" s="56" t="s">
        <v>3</v>
      </c>
      <c r="I146" s="58">
        <v>28000</v>
      </c>
      <c r="J146" s="59">
        <v>0</v>
      </c>
      <c r="K146" s="56"/>
      <c r="L146" s="60">
        <v>0</v>
      </c>
      <c r="M146" s="57">
        <v>28000</v>
      </c>
      <c r="N146" s="5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72"/>
    </row>
    <row r="147" spans="1:49" s="32" customFormat="1" x14ac:dyDescent="0.25">
      <c r="A147" s="48"/>
      <c r="B147" s="56">
        <v>41162020</v>
      </c>
      <c r="C147" s="56" t="s">
        <v>323</v>
      </c>
      <c r="D147" s="56"/>
      <c r="E147" s="57" t="s">
        <v>175</v>
      </c>
      <c r="F147" s="57" t="s">
        <v>201</v>
      </c>
      <c r="G147" s="57" t="s">
        <v>37</v>
      </c>
      <c r="H147" s="56" t="s">
        <v>130</v>
      </c>
      <c r="I147" s="58">
        <v>63000</v>
      </c>
      <c r="J147" s="59">
        <v>0</v>
      </c>
      <c r="K147" s="56"/>
      <c r="L147" s="60">
        <v>0</v>
      </c>
      <c r="M147" s="57">
        <v>63000</v>
      </c>
      <c r="N147" s="5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72"/>
    </row>
    <row r="148" spans="1:49" s="32" customFormat="1" x14ac:dyDescent="0.25">
      <c r="A148" s="48"/>
      <c r="B148" s="56">
        <v>10092005</v>
      </c>
      <c r="C148" s="56" t="s">
        <v>76</v>
      </c>
      <c r="D148" s="56"/>
      <c r="E148" s="57" t="s">
        <v>175</v>
      </c>
      <c r="F148" s="57" t="s">
        <v>201</v>
      </c>
      <c r="G148" s="57" t="s">
        <v>19</v>
      </c>
      <c r="H148" s="56" t="s">
        <v>4</v>
      </c>
      <c r="I148" s="58">
        <v>52000</v>
      </c>
      <c r="J148" s="59">
        <v>8000</v>
      </c>
      <c r="K148" s="56"/>
      <c r="L148" s="60">
        <v>0.15384615384615385</v>
      </c>
      <c r="M148" s="57">
        <v>60000</v>
      </c>
      <c r="N148" s="5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72"/>
    </row>
    <row r="149" spans="1:49" s="32" customFormat="1" x14ac:dyDescent="0.25">
      <c r="A149" s="48"/>
      <c r="B149" s="56">
        <v>20152010</v>
      </c>
      <c r="C149" s="56" t="s">
        <v>83</v>
      </c>
      <c r="D149" s="56"/>
      <c r="E149" s="57" t="s">
        <v>175</v>
      </c>
      <c r="F149" s="57" t="s">
        <v>201</v>
      </c>
      <c r="G149" s="57" t="s">
        <v>19</v>
      </c>
      <c r="H149" s="56" t="s">
        <v>3</v>
      </c>
      <c r="I149" s="58">
        <v>29000</v>
      </c>
      <c r="J149" s="59">
        <v>8000</v>
      </c>
      <c r="K149" s="56"/>
      <c r="L149" s="60">
        <v>0.27586206896551724</v>
      </c>
      <c r="M149" s="57">
        <v>37000</v>
      </c>
      <c r="N149" s="5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72"/>
    </row>
    <row r="150" spans="1:49" s="32" customFormat="1" x14ac:dyDescent="0.25">
      <c r="A150" s="48"/>
      <c r="B150" s="56">
        <v>21182018</v>
      </c>
      <c r="C150" s="56" t="s">
        <v>88</v>
      </c>
      <c r="D150" s="56"/>
      <c r="E150" s="57" t="s">
        <v>175</v>
      </c>
      <c r="F150" s="57" t="s">
        <v>201</v>
      </c>
      <c r="G150" s="57" t="s">
        <v>19</v>
      </c>
      <c r="H150" s="56" t="s">
        <v>3</v>
      </c>
      <c r="I150" s="58">
        <v>21000</v>
      </c>
      <c r="J150" s="59">
        <v>5000</v>
      </c>
      <c r="K150" s="56"/>
      <c r="L150" s="60">
        <v>0.23809523809523808</v>
      </c>
      <c r="M150" s="57">
        <v>26000</v>
      </c>
      <c r="N150" s="5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72"/>
    </row>
    <row r="151" spans="1:49" s="32" customFormat="1" x14ac:dyDescent="0.25">
      <c r="A151" s="48"/>
      <c r="B151" s="56">
        <v>20102008</v>
      </c>
      <c r="C151" s="56" t="s">
        <v>90</v>
      </c>
      <c r="D151" s="56"/>
      <c r="E151" s="57" t="s">
        <v>175</v>
      </c>
      <c r="F151" s="57" t="s">
        <v>201</v>
      </c>
      <c r="G151" s="57" t="s">
        <v>19</v>
      </c>
      <c r="H151" s="56" t="s">
        <v>130</v>
      </c>
      <c r="I151" s="58">
        <v>65000</v>
      </c>
      <c r="J151" s="59">
        <v>12000</v>
      </c>
      <c r="K151" s="56"/>
      <c r="L151" s="60">
        <v>0.18461538461538463</v>
      </c>
      <c r="M151" s="57">
        <v>77000</v>
      </c>
      <c r="N151" s="5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72"/>
    </row>
    <row r="152" spans="1:49" s="32" customFormat="1" x14ac:dyDescent="0.25">
      <c r="A152" s="48"/>
      <c r="B152" s="56">
        <v>11262018</v>
      </c>
      <c r="C152" s="56" t="s">
        <v>186</v>
      </c>
      <c r="D152" s="56"/>
      <c r="E152" s="57" t="s">
        <v>175</v>
      </c>
      <c r="F152" s="57" t="s">
        <v>201</v>
      </c>
      <c r="G152" s="57" t="s">
        <v>19</v>
      </c>
      <c r="H152" s="56" t="s">
        <v>8</v>
      </c>
      <c r="I152" s="58">
        <v>20000</v>
      </c>
      <c r="J152" s="59">
        <v>6000</v>
      </c>
      <c r="K152" s="56"/>
      <c r="L152" s="60">
        <v>0.3</v>
      </c>
      <c r="M152" s="57">
        <v>26000</v>
      </c>
      <c r="N152" s="5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72"/>
    </row>
    <row r="153" spans="1:49" s="32" customFormat="1" x14ac:dyDescent="0.25">
      <c r="A153" s="48"/>
      <c r="B153" s="56">
        <v>40322018</v>
      </c>
      <c r="C153" s="56" t="s">
        <v>234</v>
      </c>
      <c r="D153" s="56"/>
      <c r="E153" s="57" t="s">
        <v>175</v>
      </c>
      <c r="F153" s="57" t="s">
        <v>201</v>
      </c>
      <c r="G153" s="57" t="s">
        <v>19</v>
      </c>
      <c r="H153" s="56" t="s">
        <v>27</v>
      </c>
      <c r="I153" s="58">
        <v>15000</v>
      </c>
      <c r="J153" s="59">
        <v>5000</v>
      </c>
      <c r="K153" s="56"/>
      <c r="L153" s="60">
        <v>0.33333333333333331</v>
      </c>
      <c r="M153" s="57">
        <v>20000</v>
      </c>
      <c r="N153" s="5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72"/>
    </row>
    <row r="154" spans="1:49" s="32" customFormat="1" x14ac:dyDescent="0.25">
      <c r="A154" s="48"/>
      <c r="B154" s="56">
        <v>21402018</v>
      </c>
      <c r="C154" s="56" t="s">
        <v>235</v>
      </c>
      <c r="D154" s="56"/>
      <c r="E154" s="57" t="s">
        <v>175</v>
      </c>
      <c r="F154" s="57" t="s">
        <v>201</v>
      </c>
      <c r="G154" s="57" t="s">
        <v>19</v>
      </c>
      <c r="H154" s="56" t="s">
        <v>8</v>
      </c>
      <c r="I154" s="58">
        <v>20000</v>
      </c>
      <c r="J154" s="59">
        <v>5000</v>
      </c>
      <c r="K154" s="56"/>
      <c r="L154" s="60">
        <v>0.25</v>
      </c>
      <c r="M154" s="57">
        <v>25000</v>
      </c>
      <c r="N154" s="5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72"/>
    </row>
    <row r="155" spans="1:49" s="32" customFormat="1" x14ac:dyDescent="0.25">
      <c r="A155" s="48"/>
      <c r="B155" s="56">
        <v>40442018</v>
      </c>
      <c r="C155" s="56" t="s">
        <v>236</v>
      </c>
      <c r="D155" s="56"/>
      <c r="E155" s="57" t="s">
        <v>175</v>
      </c>
      <c r="F155" s="57" t="s">
        <v>201</v>
      </c>
      <c r="G155" s="57" t="s">
        <v>19</v>
      </c>
      <c r="H155" s="56" t="s">
        <v>8</v>
      </c>
      <c r="I155" s="58">
        <v>20000</v>
      </c>
      <c r="J155" s="59">
        <v>5000</v>
      </c>
      <c r="K155" s="56"/>
      <c r="L155" s="60">
        <v>0.25</v>
      </c>
      <c r="M155" s="57">
        <v>25000</v>
      </c>
      <c r="N155" s="5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72"/>
    </row>
    <row r="156" spans="1:49" s="32" customFormat="1" x14ac:dyDescent="0.25">
      <c r="A156" s="48"/>
      <c r="B156" s="56">
        <v>40622019</v>
      </c>
      <c r="C156" s="56" t="s">
        <v>305</v>
      </c>
      <c r="D156" s="56"/>
      <c r="E156" s="57" t="s">
        <v>175</v>
      </c>
      <c r="F156" s="57" t="s">
        <v>201</v>
      </c>
      <c r="G156" s="57" t="s">
        <v>19</v>
      </c>
      <c r="H156" s="56" t="s">
        <v>8</v>
      </c>
      <c r="I156" s="58">
        <v>17000</v>
      </c>
      <c r="J156" s="59">
        <v>5000</v>
      </c>
      <c r="K156" s="56"/>
      <c r="L156" s="60">
        <v>0.29411764705882354</v>
      </c>
      <c r="M156" s="57">
        <v>22000</v>
      </c>
      <c r="N156" s="5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72"/>
    </row>
    <row r="157" spans="1:49" s="32" customFormat="1" x14ac:dyDescent="0.25">
      <c r="A157" s="48"/>
      <c r="B157" s="56">
        <v>40732019</v>
      </c>
      <c r="C157" s="56" t="s">
        <v>307</v>
      </c>
      <c r="D157" s="56"/>
      <c r="E157" s="57" t="s">
        <v>175</v>
      </c>
      <c r="F157" s="57" t="s">
        <v>201</v>
      </c>
      <c r="G157" s="57" t="s">
        <v>19</v>
      </c>
      <c r="H157" s="56" t="s">
        <v>8</v>
      </c>
      <c r="I157" s="58">
        <v>15000</v>
      </c>
      <c r="J157" s="59">
        <v>7000</v>
      </c>
      <c r="K157" s="56"/>
      <c r="L157" s="60">
        <v>0.46666666666666667</v>
      </c>
      <c r="M157" s="57">
        <v>22000</v>
      </c>
      <c r="N157" s="5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72"/>
    </row>
    <row r="158" spans="1:49" s="32" customFormat="1" x14ac:dyDescent="0.25">
      <c r="A158" s="48"/>
      <c r="B158" s="56">
        <v>40912020</v>
      </c>
      <c r="C158" s="56" t="s">
        <v>308</v>
      </c>
      <c r="D158" s="56"/>
      <c r="E158" s="57" t="s">
        <v>175</v>
      </c>
      <c r="F158" s="57" t="s">
        <v>201</v>
      </c>
      <c r="G158" s="57" t="s">
        <v>19</v>
      </c>
      <c r="H158" s="56" t="s">
        <v>8</v>
      </c>
      <c r="I158" s="58">
        <v>15000</v>
      </c>
      <c r="J158" s="59">
        <v>5000</v>
      </c>
      <c r="K158" s="56"/>
      <c r="L158" s="60">
        <v>0.33333333333333331</v>
      </c>
      <c r="M158" s="57">
        <v>20000</v>
      </c>
      <c r="N158" s="5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72"/>
    </row>
    <row r="159" spans="1:49" s="32" customFormat="1" x14ac:dyDescent="0.25">
      <c r="A159" s="48"/>
      <c r="B159" s="56">
        <v>40942020</v>
      </c>
      <c r="C159" s="56" t="s">
        <v>309</v>
      </c>
      <c r="D159" s="56"/>
      <c r="E159" s="57" t="s">
        <v>175</v>
      </c>
      <c r="F159" s="57" t="s">
        <v>201</v>
      </c>
      <c r="G159" s="57" t="s">
        <v>19</v>
      </c>
      <c r="H159" s="56" t="s">
        <v>8</v>
      </c>
      <c r="I159" s="58">
        <v>15000</v>
      </c>
      <c r="J159" s="59">
        <v>5000</v>
      </c>
      <c r="K159" s="56"/>
      <c r="L159" s="60">
        <v>0.33333333333333331</v>
      </c>
      <c r="M159" s="57">
        <v>20000</v>
      </c>
      <c r="N159" s="5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72"/>
    </row>
    <row r="160" spans="1:49" s="32" customFormat="1" x14ac:dyDescent="0.25">
      <c r="A160" s="48"/>
      <c r="B160" s="56">
        <v>40952020</v>
      </c>
      <c r="C160" s="56" t="s">
        <v>310</v>
      </c>
      <c r="D160" s="56"/>
      <c r="E160" s="57" t="s">
        <v>175</v>
      </c>
      <c r="F160" s="57" t="s">
        <v>201</v>
      </c>
      <c r="G160" s="57" t="s">
        <v>19</v>
      </c>
      <c r="H160" s="56" t="s">
        <v>8</v>
      </c>
      <c r="I160" s="58">
        <v>15000</v>
      </c>
      <c r="J160" s="59">
        <v>5000</v>
      </c>
      <c r="K160" s="56"/>
      <c r="L160" s="60">
        <v>0.33333333333333331</v>
      </c>
      <c r="M160" s="57">
        <v>20000</v>
      </c>
      <c r="N160" s="5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72"/>
    </row>
    <row r="161" spans="1:49" s="32" customFormat="1" x14ac:dyDescent="0.25">
      <c r="A161" s="48"/>
      <c r="B161" s="56">
        <v>41012020</v>
      </c>
      <c r="C161" s="56" t="s">
        <v>311</v>
      </c>
      <c r="D161" s="56"/>
      <c r="E161" s="57" t="s">
        <v>175</v>
      </c>
      <c r="F161" s="57" t="s">
        <v>201</v>
      </c>
      <c r="G161" s="57" t="s">
        <v>19</v>
      </c>
      <c r="H161" s="56" t="s">
        <v>27</v>
      </c>
      <c r="I161" s="58">
        <v>11000</v>
      </c>
      <c r="J161" s="59">
        <v>5000</v>
      </c>
      <c r="K161" s="56"/>
      <c r="L161" s="60">
        <v>0.45454545454545453</v>
      </c>
      <c r="M161" s="57">
        <v>16000</v>
      </c>
      <c r="N161" s="5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72"/>
    </row>
    <row r="162" spans="1:49" s="32" customFormat="1" x14ac:dyDescent="0.25">
      <c r="A162" s="48"/>
      <c r="B162" s="56">
        <v>40602019</v>
      </c>
      <c r="C162" s="56" t="s">
        <v>306</v>
      </c>
      <c r="D162" s="56"/>
      <c r="E162" s="57" t="s">
        <v>175</v>
      </c>
      <c r="F162" s="57" t="s">
        <v>201</v>
      </c>
      <c r="G162" s="57" t="s">
        <v>245</v>
      </c>
      <c r="H162" s="56" t="s">
        <v>246</v>
      </c>
      <c r="I162" s="58">
        <v>150000</v>
      </c>
      <c r="J162" s="59">
        <v>3000</v>
      </c>
      <c r="K162" s="56"/>
      <c r="L162" s="60">
        <v>0.02</v>
      </c>
      <c r="M162" s="57">
        <v>153000</v>
      </c>
      <c r="N162" s="5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72"/>
    </row>
    <row r="163" spans="1:49" s="32" customFormat="1" x14ac:dyDescent="0.25">
      <c r="A163" s="48"/>
      <c r="B163" s="56">
        <v>30250000</v>
      </c>
      <c r="C163" s="56" t="s">
        <v>312</v>
      </c>
      <c r="D163" s="56"/>
      <c r="E163" s="57" t="s">
        <v>175</v>
      </c>
      <c r="F163" s="57" t="s">
        <v>201</v>
      </c>
      <c r="G163" s="57" t="s">
        <v>258</v>
      </c>
      <c r="H163" s="56" t="s">
        <v>130</v>
      </c>
      <c r="I163" s="58">
        <v>60000</v>
      </c>
      <c r="J163" s="59">
        <v>10000</v>
      </c>
      <c r="K163" s="56"/>
      <c r="L163" s="60">
        <v>0.16666666666666666</v>
      </c>
      <c r="M163" s="57">
        <v>70000</v>
      </c>
      <c r="N163" s="5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72"/>
    </row>
    <row r="164" spans="1:49" s="32" customFormat="1" x14ac:dyDescent="0.25">
      <c r="A164" s="48"/>
      <c r="B164" s="56">
        <v>30702018</v>
      </c>
      <c r="C164" s="56" t="s">
        <v>313</v>
      </c>
      <c r="D164" s="56"/>
      <c r="E164" s="57" t="s">
        <v>175</v>
      </c>
      <c r="F164" s="57" t="s">
        <v>201</v>
      </c>
      <c r="G164" s="57" t="s">
        <v>258</v>
      </c>
      <c r="H164" s="56" t="s">
        <v>3</v>
      </c>
      <c r="I164" s="58">
        <v>30000</v>
      </c>
      <c r="J164" s="59">
        <v>5000</v>
      </c>
      <c r="K164" s="56"/>
      <c r="L164" s="60">
        <v>0.16666666666666666</v>
      </c>
      <c r="M164" s="57">
        <v>35000</v>
      </c>
      <c r="N164" s="5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72"/>
    </row>
    <row r="165" spans="1:49" s="32" customFormat="1" x14ac:dyDescent="0.25">
      <c r="A165" s="48"/>
      <c r="B165" s="56">
        <v>20332017</v>
      </c>
      <c r="C165" s="56" t="s">
        <v>45</v>
      </c>
      <c r="D165" s="56"/>
      <c r="E165" s="57" t="s">
        <v>175</v>
      </c>
      <c r="F165" s="57" t="s">
        <v>201</v>
      </c>
      <c r="G165" s="57" t="s">
        <v>36</v>
      </c>
      <c r="H165" s="56" t="s">
        <v>21</v>
      </c>
      <c r="I165" s="58">
        <v>70000</v>
      </c>
      <c r="J165" s="59">
        <v>10000</v>
      </c>
      <c r="K165" s="56"/>
      <c r="L165" s="60">
        <v>0.14285714285714285</v>
      </c>
      <c r="M165" s="57">
        <v>80000</v>
      </c>
      <c r="N165" s="56"/>
      <c r="O165" s="1"/>
      <c r="P165" s="1"/>
      <c r="Q165" s="1" t="s">
        <v>388</v>
      </c>
      <c r="R165" s="1"/>
      <c r="S165" s="1"/>
      <c r="T165" s="1"/>
      <c r="U165" s="1"/>
      <c r="V165" s="1" t="s">
        <v>7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72"/>
    </row>
    <row r="166" spans="1:49" s="32" customFormat="1" x14ac:dyDescent="0.25">
      <c r="A166" s="48"/>
      <c r="B166" s="56">
        <v>21042017</v>
      </c>
      <c r="C166" s="56" t="s">
        <v>123</v>
      </c>
      <c r="D166" s="56"/>
      <c r="E166" s="57" t="s">
        <v>175</v>
      </c>
      <c r="F166" s="57" t="s">
        <v>201</v>
      </c>
      <c r="G166" s="57" t="s">
        <v>36</v>
      </c>
      <c r="H166" s="56" t="s">
        <v>3</v>
      </c>
      <c r="I166" s="58">
        <v>40000</v>
      </c>
      <c r="J166" s="59">
        <v>8000</v>
      </c>
      <c r="K166" s="56"/>
      <c r="L166" s="60">
        <v>0.2</v>
      </c>
      <c r="M166" s="57">
        <v>48000</v>
      </c>
      <c r="N166" s="56"/>
      <c r="O166" s="1"/>
      <c r="P166" s="1"/>
      <c r="Q166" s="1" t="s">
        <v>380</v>
      </c>
      <c r="R166" s="62" t="s">
        <v>384</v>
      </c>
      <c r="S166" s="1" t="s">
        <v>381</v>
      </c>
      <c r="T166" s="1" t="s">
        <v>382</v>
      </c>
      <c r="U166" s="1" t="s">
        <v>383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72"/>
    </row>
    <row r="167" spans="1:49" s="32" customFormat="1" x14ac:dyDescent="0.25">
      <c r="A167" s="48" t="s">
        <v>260</v>
      </c>
      <c r="B167" s="56">
        <v>40312017</v>
      </c>
      <c r="C167" s="56" t="s">
        <v>124</v>
      </c>
      <c r="D167" s="56"/>
      <c r="E167" s="57" t="s">
        <v>175</v>
      </c>
      <c r="F167" s="57" t="s">
        <v>201</v>
      </c>
      <c r="G167" s="57" t="s">
        <v>36</v>
      </c>
      <c r="H167" s="56" t="s">
        <v>21</v>
      </c>
      <c r="I167" s="58">
        <v>45000</v>
      </c>
      <c r="J167" s="59">
        <v>8000</v>
      </c>
      <c r="K167" s="56"/>
      <c r="L167" s="60">
        <v>0.17777777777777778</v>
      </c>
      <c r="M167" s="57">
        <v>53000</v>
      </c>
      <c r="N167" s="56"/>
      <c r="O167" s="1"/>
      <c r="P167" s="1" t="s">
        <v>238</v>
      </c>
      <c r="Q167" s="2">
        <f ca="1">SUMIF(G137:N208,P167,J137:J208)</f>
        <v>116000</v>
      </c>
      <c r="R167" s="42">
        <f>COUNTIF(G137:G208,P167)</f>
        <v>19</v>
      </c>
      <c r="S167" s="65">
        <f ca="1">AVERAGEIF(G137:M208,P167,L137:L208)</f>
        <v>0.19840872234061088</v>
      </c>
      <c r="T167" s="2">
        <v>1620000</v>
      </c>
      <c r="U167" s="65">
        <f t="shared" ref="U167:U173" ca="1" si="0">Q167/T167</f>
        <v>7.160493827160494E-2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72"/>
    </row>
    <row r="168" spans="1:49" s="32" customFormat="1" x14ac:dyDescent="0.25">
      <c r="A168" s="48"/>
      <c r="B168" s="56">
        <v>40512018</v>
      </c>
      <c r="C168" s="56" t="s">
        <v>226</v>
      </c>
      <c r="D168" s="56"/>
      <c r="E168" s="57" t="s">
        <v>175</v>
      </c>
      <c r="F168" s="57" t="s">
        <v>201</v>
      </c>
      <c r="G168" s="57" t="s">
        <v>36</v>
      </c>
      <c r="H168" s="56" t="s">
        <v>5</v>
      </c>
      <c r="I168" s="58">
        <v>30000</v>
      </c>
      <c r="J168" s="59">
        <v>6000</v>
      </c>
      <c r="K168" s="56"/>
      <c r="L168" s="60">
        <v>0.2</v>
      </c>
      <c r="M168" s="57">
        <v>36000</v>
      </c>
      <c r="N168" s="56"/>
      <c r="O168" s="1"/>
      <c r="P168" s="1" t="s">
        <v>36</v>
      </c>
      <c r="Q168" s="2">
        <f ca="1">SUMIF(G137:N208,P168,J137:J208)</f>
        <v>62000</v>
      </c>
      <c r="R168" s="42">
        <f>COUNTIF(G137:G208,P168)</f>
        <v>9</v>
      </c>
      <c r="S168" s="65">
        <f ca="1">AVERAGEIF(G137:M208,P168,L137:L208)</f>
        <v>0.22847122013788684</v>
      </c>
      <c r="T168" s="2">
        <v>432000</v>
      </c>
      <c r="U168" s="65">
        <f t="shared" ca="1" si="0"/>
        <v>0.14351851851851852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72"/>
    </row>
    <row r="169" spans="1:49" s="32" customFormat="1" x14ac:dyDescent="0.25">
      <c r="A169" s="48"/>
      <c r="B169" s="56">
        <v>40452018</v>
      </c>
      <c r="C169" s="56" t="s">
        <v>227</v>
      </c>
      <c r="D169" s="56"/>
      <c r="E169" s="57" t="s">
        <v>175</v>
      </c>
      <c r="F169" s="57" t="s">
        <v>201</v>
      </c>
      <c r="G169" s="57" t="s">
        <v>36</v>
      </c>
      <c r="H169" s="56" t="s">
        <v>8</v>
      </c>
      <c r="I169" s="58">
        <v>22000</v>
      </c>
      <c r="J169" s="59">
        <v>5000</v>
      </c>
      <c r="K169" s="56"/>
      <c r="L169" s="60">
        <v>0.22727272727272727</v>
      </c>
      <c r="M169" s="57">
        <v>27000</v>
      </c>
      <c r="N169" s="56"/>
      <c r="O169" s="1"/>
      <c r="P169" s="1" t="s">
        <v>37</v>
      </c>
      <c r="Q169" s="2">
        <f ca="1">SUMIF(G137:N208,P169,J137:J208)</f>
        <v>8000</v>
      </c>
      <c r="R169" s="42">
        <f>COUNTIF(G137:G208,P169)</f>
        <v>4</v>
      </c>
      <c r="S169" s="65">
        <f ca="1">AVERAGEIF(G137:M208,P169,L137:L208)</f>
        <v>4.4444444444444446E-2</v>
      </c>
      <c r="T169" s="2">
        <v>214000</v>
      </c>
      <c r="U169" s="65">
        <f t="shared" ca="1" si="0"/>
        <v>3.7383177570093455E-2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72"/>
    </row>
    <row r="170" spans="1:49" s="32" customFormat="1" x14ac:dyDescent="0.25">
      <c r="A170" s="48"/>
      <c r="B170" s="56">
        <v>40462018</v>
      </c>
      <c r="C170" s="56" t="s">
        <v>228</v>
      </c>
      <c r="D170" s="56"/>
      <c r="E170" s="57" t="s">
        <v>175</v>
      </c>
      <c r="F170" s="57" t="s">
        <v>201</v>
      </c>
      <c r="G170" s="57" t="s">
        <v>36</v>
      </c>
      <c r="H170" s="56" t="s">
        <v>8</v>
      </c>
      <c r="I170" s="58">
        <v>15000</v>
      </c>
      <c r="J170" s="59">
        <v>7000</v>
      </c>
      <c r="K170" s="56"/>
      <c r="L170" s="60">
        <v>0.46666666666666667</v>
      </c>
      <c r="M170" s="57">
        <v>22000</v>
      </c>
      <c r="N170" s="56"/>
      <c r="O170" s="1"/>
      <c r="P170" s="1" t="s">
        <v>32</v>
      </c>
      <c r="Q170" s="2">
        <f ca="1">SUMIF(G137:N208,P170,J137:J208)</f>
        <v>43000</v>
      </c>
      <c r="R170" s="42">
        <f>COUNTIF(G137:G208,P170)</f>
        <v>7</v>
      </c>
      <c r="S170" s="65">
        <f ca="1">AVERAGEIF(G137:M208,P170,L137:L208)</f>
        <v>0.18954815637845093</v>
      </c>
      <c r="T170" s="2">
        <v>225000</v>
      </c>
      <c r="U170" s="65">
        <f t="shared" ca="1" si="0"/>
        <v>0.19111111111111112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72"/>
    </row>
    <row r="171" spans="1:49" s="32" customFormat="1" x14ac:dyDescent="0.25">
      <c r="A171" s="48"/>
      <c r="B171" s="56">
        <v>40712019</v>
      </c>
      <c r="C171" s="56" t="s">
        <v>229</v>
      </c>
      <c r="D171" s="56"/>
      <c r="E171" s="57" t="s">
        <v>175</v>
      </c>
      <c r="F171" s="57" t="s">
        <v>201</v>
      </c>
      <c r="G171" s="57" t="s">
        <v>36</v>
      </c>
      <c r="H171" s="56" t="s">
        <v>130</v>
      </c>
      <c r="I171" s="58">
        <v>80000</v>
      </c>
      <c r="J171" s="59">
        <v>8000</v>
      </c>
      <c r="K171" s="56"/>
      <c r="L171" s="60">
        <v>0.1</v>
      </c>
      <c r="M171" s="57">
        <v>88000</v>
      </c>
      <c r="N171" s="56"/>
      <c r="O171" s="1"/>
      <c r="P171" s="1" t="s">
        <v>19</v>
      </c>
      <c r="Q171" s="2">
        <f ca="1">SUMIF(G137:N208,P171,J137:J208)</f>
        <v>86000</v>
      </c>
      <c r="R171" s="42">
        <f>COUNTIF(G137:G208,P171)</f>
        <v>14</v>
      </c>
      <c r="S171" s="65">
        <f ca="1">AVERAGEIF(G137:M208,P171,L137:L208)</f>
        <v>0.30007728193761229</v>
      </c>
      <c r="T171" s="1">
        <v>386000</v>
      </c>
      <c r="U171" s="65">
        <f t="shared" ca="1" si="0"/>
        <v>0.22279792746113988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72"/>
    </row>
    <row r="172" spans="1:49" s="32" customFormat="1" x14ac:dyDescent="0.25">
      <c r="A172" s="48"/>
      <c r="B172" s="56">
        <v>40822019</v>
      </c>
      <c r="C172" s="56" t="s">
        <v>315</v>
      </c>
      <c r="D172" s="56"/>
      <c r="E172" s="57" t="s">
        <v>175</v>
      </c>
      <c r="F172" s="57" t="s">
        <v>201</v>
      </c>
      <c r="G172" s="57" t="s">
        <v>36</v>
      </c>
      <c r="H172" s="56" t="s">
        <v>130</v>
      </c>
      <c r="I172" s="58">
        <v>120000</v>
      </c>
      <c r="J172" s="59">
        <v>5000</v>
      </c>
      <c r="K172" s="56"/>
      <c r="L172" s="60">
        <v>4.1666666666666664E-2</v>
      </c>
      <c r="M172" s="57">
        <v>125000</v>
      </c>
      <c r="N172" s="56"/>
      <c r="O172" s="1"/>
      <c r="P172" s="1" t="s">
        <v>138</v>
      </c>
      <c r="Q172" s="2">
        <f ca="1">SUMIF(G137:N208,P172,J137:J208)</f>
        <v>26000</v>
      </c>
      <c r="R172" s="42">
        <f>COUNTIF(G137:G208,P172)</f>
        <v>3</v>
      </c>
      <c r="S172" s="65">
        <f ca="1">AVERAGEIF(G137:M208,P172,L137:L208)</f>
        <v>0.29589371980676327</v>
      </c>
      <c r="T172" s="1">
        <v>89000</v>
      </c>
      <c r="U172" s="65">
        <f t="shared" ca="1" si="0"/>
        <v>0.29213483146067415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72"/>
    </row>
    <row r="173" spans="1:49" s="32" customFormat="1" x14ac:dyDescent="0.25">
      <c r="A173" s="48"/>
      <c r="B173" s="56">
        <v>41032020</v>
      </c>
      <c r="C173" s="56" t="s">
        <v>316</v>
      </c>
      <c r="D173" s="56"/>
      <c r="E173" s="57" t="s">
        <v>175</v>
      </c>
      <c r="F173" s="57" t="s">
        <v>201</v>
      </c>
      <c r="G173" s="57" t="s">
        <v>36</v>
      </c>
      <c r="H173" s="56" t="s">
        <v>6</v>
      </c>
      <c r="I173" s="58">
        <v>10000</v>
      </c>
      <c r="J173" s="59">
        <v>5000</v>
      </c>
      <c r="K173" s="56"/>
      <c r="L173" s="60">
        <v>0.5</v>
      </c>
      <c r="M173" s="57">
        <v>15000</v>
      </c>
      <c r="N173" s="56"/>
      <c r="O173" s="1"/>
      <c r="P173" s="1" t="s">
        <v>258</v>
      </c>
      <c r="Q173" s="2">
        <f ca="1">SUMIF(G137:N208,P173,J137:J208)</f>
        <v>15000</v>
      </c>
      <c r="R173" s="42">
        <f>COUNTIF(G137:G208,P173)</f>
        <v>2</v>
      </c>
      <c r="S173" s="65">
        <f ca="1">AVERAGEIF(G137:M208,P173,L137:L208)</f>
        <v>0.16666666666666666</v>
      </c>
      <c r="T173" s="1">
        <v>90000</v>
      </c>
      <c r="U173" s="65">
        <f t="shared" ca="1" si="0"/>
        <v>0.16666666666666666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72"/>
    </row>
    <row r="174" spans="1:49" s="32" customFormat="1" x14ac:dyDescent="0.25">
      <c r="A174" s="48"/>
      <c r="B174" s="56">
        <v>10252008</v>
      </c>
      <c r="C174" s="56" t="s">
        <v>65</v>
      </c>
      <c r="D174" s="56"/>
      <c r="E174" s="57" t="s">
        <v>175</v>
      </c>
      <c r="F174" s="57" t="s">
        <v>201</v>
      </c>
      <c r="G174" s="57" t="s">
        <v>138</v>
      </c>
      <c r="H174" s="56" t="s">
        <v>21</v>
      </c>
      <c r="I174" s="58">
        <v>46000</v>
      </c>
      <c r="J174" s="59">
        <v>14000</v>
      </c>
      <c r="K174" s="56"/>
      <c r="L174" s="60">
        <v>0.30434782608695654</v>
      </c>
      <c r="M174" s="57">
        <v>60000</v>
      </c>
      <c r="N174" s="56"/>
      <c r="O174" s="1"/>
      <c r="P174" s="1" t="s">
        <v>266</v>
      </c>
      <c r="Q174" s="2">
        <f ca="1">SUMIF(G137:N208,P174,J137:J208)</f>
        <v>17000</v>
      </c>
      <c r="R174" s="42">
        <f>COUNTIF(G137:G208,P174)</f>
        <v>3</v>
      </c>
      <c r="S174" s="65">
        <f ca="1">AVERAGEIF(G137:M208,P174,L137:L208)</f>
        <v>9.8941004794663334E-2</v>
      </c>
      <c r="T174" s="1">
        <v>190000</v>
      </c>
      <c r="U174" s="65">
        <f t="shared" ref="U174:U177" ca="1" si="1">Q174/T174</f>
        <v>8.9473684210526316E-2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72"/>
    </row>
    <row r="175" spans="1:49" s="32" customFormat="1" x14ac:dyDescent="0.25">
      <c r="A175" s="48"/>
      <c r="B175" s="56">
        <v>10702016</v>
      </c>
      <c r="C175" s="56" t="s">
        <v>100</v>
      </c>
      <c r="D175" s="56"/>
      <c r="E175" s="57" t="s">
        <v>175</v>
      </c>
      <c r="F175" s="57" t="s">
        <v>201</v>
      </c>
      <c r="G175" s="57" t="s">
        <v>138</v>
      </c>
      <c r="H175" s="56" t="s">
        <v>3</v>
      </c>
      <c r="I175" s="58">
        <v>28000</v>
      </c>
      <c r="J175" s="59">
        <v>7000</v>
      </c>
      <c r="K175" s="56"/>
      <c r="L175" s="60">
        <v>0.25</v>
      </c>
      <c r="M175" s="57">
        <v>35000</v>
      </c>
      <c r="N175" s="56"/>
      <c r="O175" s="1"/>
      <c r="P175" s="1" t="s">
        <v>245</v>
      </c>
      <c r="Q175" s="2">
        <f ca="1">SUMIF(G137:N208,P175,J137:J208)</f>
        <v>3000</v>
      </c>
      <c r="R175" s="42">
        <f>COUNTIF(G137:G208,P175)</f>
        <v>1</v>
      </c>
      <c r="S175" s="65">
        <f ca="1">AVERAGEIF(G137:M208,P175,L137:L208)</f>
        <v>0.02</v>
      </c>
      <c r="T175" s="1">
        <v>192000</v>
      </c>
      <c r="U175" s="65">
        <f t="shared" ca="1" si="1"/>
        <v>1.5625E-2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72"/>
    </row>
    <row r="176" spans="1:49" s="32" customFormat="1" x14ac:dyDescent="0.25">
      <c r="A176" s="48"/>
      <c r="B176" s="56">
        <v>41072020</v>
      </c>
      <c r="C176" s="56" t="s">
        <v>317</v>
      </c>
      <c r="D176" s="56"/>
      <c r="E176" s="57" t="s">
        <v>175</v>
      </c>
      <c r="F176" s="57" t="s">
        <v>201</v>
      </c>
      <c r="G176" s="57" t="s">
        <v>138</v>
      </c>
      <c r="H176" s="56" t="s">
        <v>5</v>
      </c>
      <c r="I176" s="58">
        <v>15000</v>
      </c>
      <c r="J176" s="59">
        <v>5000</v>
      </c>
      <c r="K176" s="56"/>
      <c r="L176" s="60">
        <v>0.33333333333333331</v>
      </c>
      <c r="M176" s="57">
        <v>20000</v>
      </c>
      <c r="N176" s="56"/>
      <c r="O176" s="1"/>
      <c r="P176" s="1" t="s">
        <v>146</v>
      </c>
      <c r="Q176" s="2">
        <f ca="1">SUMIF(G137:N208,P176,J137:J208)</f>
        <v>0</v>
      </c>
      <c r="R176" s="42">
        <f>COUNTIF(G137:G208,P176)</f>
        <v>3</v>
      </c>
      <c r="S176" s="65">
        <f ca="1">AVERAGEIF(G137:M208,P176,L137:L208)</f>
        <v>0</v>
      </c>
      <c r="T176" s="1">
        <v>155000</v>
      </c>
      <c r="U176" s="65">
        <f t="shared" ca="1" si="1"/>
        <v>0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72"/>
    </row>
    <row r="177" spans="1:49" s="32" customFormat="1" x14ac:dyDescent="0.25">
      <c r="A177" s="48"/>
      <c r="B177" s="56">
        <v>10102012</v>
      </c>
      <c r="C177" s="56" t="s">
        <v>318</v>
      </c>
      <c r="D177" s="56"/>
      <c r="E177" s="57" t="s">
        <v>175</v>
      </c>
      <c r="F177" s="57" t="s">
        <v>201</v>
      </c>
      <c r="G177" s="57" t="s">
        <v>146</v>
      </c>
      <c r="H177" s="56" t="s">
        <v>261</v>
      </c>
      <c r="I177" s="58">
        <v>70000</v>
      </c>
      <c r="J177" s="59">
        <v>0</v>
      </c>
      <c r="K177" s="56"/>
      <c r="L177" s="60">
        <v>0</v>
      </c>
      <c r="M177" s="57">
        <v>70000</v>
      </c>
      <c r="N177" s="56"/>
      <c r="O177" s="1"/>
      <c r="P177" s="1" t="s">
        <v>20</v>
      </c>
      <c r="Q177" s="1">
        <f ca="1">SUMIF(G137:N208,P177,J137:J208)</f>
        <v>15000</v>
      </c>
      <c r="R177" s="62">
        <f>COUNTIF(G137:G208,P177)</f>
        <v>7</v>
      </c>
      <c r="S177" s="65">
        <f ca="1">AVERAGEIF(G137:M208,P177,L137:L208)</f>
        <v>0.16020408163265307</v>
      </c>
      <c r="T177" s="1">
        <v>71000</v>
      </c>
      <c r="U177" s="65">
        <f t="shared" ca="1" si="1"/>
        <v>0.21126760563380281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72"/>
    </row>
    <row r="178" spans="1:49" s="32" customFormat="1" x14ac:dyDescent="0.25">
      <c r="A178" s="48"/>
      <c r="B178" s="56">
        <v>41142020</v>
      </c>
      <c r="C178" s="56" t="s">
        <v>319</v>
      </c>
      <c r="D178" s="56"/>
      <c r="E178" s="57" t="s">
        <v>175</v>
      </c>
      <c r="F178" s="57" t="s">
        <v>201</v>
      </c>
      <c r="G178" s="57" t="s">
        <v>146</v>
      </c>
      <c r="H178" s="56" t="s">
        <v>262</v>
      </c>
      <c r="I178" s="58">
        <v>40000</v>
      </c>
      <c r="J178" s="59">
        <v>0</v>
      </c>
      <c r="K178" s="56"/>
      <c r="L178" s="60">
        <v>0</v>
      </c>
      <c r="M178" s="57">
        <v>40000</v>
      </c>
      <c r="N178" s="56"/>
      <c r="O178" s="1"/>
      <c r="P178" s="1"/>
      <c r="Q178" s="66">
        <f ca="1">SUM(Q167:Q177)</f>
        <v>391000</v>
      </c>
      <c r="R178" s="66"/>
      <c r="S178" s="1"/>
      <c r="T178" s="66">
        <f>SUM(T167:T177)</f>
        <v>3664000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72"/>
    </row>
    <row r="179" spans="1:49" s="32" customFormat="1" x14ac:dyDescent="0.25">
      <c r="A179" s="48"/>
      <c r="B179" s="56">
        <v>41152020</v>
      </c>
      <c r="C179" s="56" t="s">
        <v>320</v>
      </c>
      <c r="D179" s="56"/>
      <c r="E179" s="57" t="s">
        <v>175</v>
      </c>
      <c r="F179" s="57" t="s">
        <v>201</v>
      </c>
      <c r="G179" s="57" t="s">
        <v>146</v>
      </c>
      <c r="H179" s="56" t="s">
        <v>262</v>
      </c>
      <c r="I179" s="58">
        <v>45000</v>
      </c>
      <c r="J179" s="59">
        <v>0</v>
      </c>
      <c r="K179" s="56"/>
      <c r="L179" s="60">
        <v>0</v>
      </c>
      <c r="M179" s="57">
        <v>45000</v>
      </c>
      <c r="N179" s="56"/>
      <c r="O179" s="1"/>
      <c r="P179" s="1"/>
      <c r="Q179" s="65">
        <f ca="1">Q178/T178</f>
        <v>0.10671397379912664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72"/>
    </row>
    <row r="180" spans="1:49" s="32" customFormat="1" x14ac:dyDescent="0.25">
      <c r="A180" s="48"/>
      <c r="B180" s="56">
        <v>40362018</v>
      </c>
      <c r="C180" s="56" t="s">
        <v>298</v>
      </c>
      <c r="D180" s="56"/>
      <c r="E180" s="57" t="s">
        <v>175</v>
      </c>
      <c r="F180" s="57" t="s">
        <v>201</v>
      </c>
      <c r="G180" s="57" t="s">
        <v>238</v>
      </c>
      <c r="H180" s="56" t="s">
        <v>17</v>
      </c>
      <c r="I180" s="58">
        <v>350000</v>
      </c>
      <c r="J180" s="59">
        <v>10000</v>
      </c>
      <c r="K180" s="56"/>
      <c r="L180" s="60">
        <v>2.8571428571428571E-2</v>
      </c>
      <c r="M180" s="57">
        <v>360000</v>
      </c>
      <c r="N180" s="5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72"/>
    </row>
    <row r="181" spans="1:49" s="32" customFormat="1" x14ac:dyDescent="0.25">
      <c r="A181" s="48"/>
      <c r="B181" s="56">
        <v>40052018</v>
      </c>
      <c r="C181" s="56" t="s">
        <v>299</v>
      </c>
      <c r="D181" s="56"/>
      <c r="E181" s="57" t="s">
        <v>175</v>
      </c>
      <c r="F181" s="57" t="s">
        <v>201</v>
      </c>
      <c r="G181" s="57" t="s">
        <v>238</v>
      </c>
      <c r="H181" s="56" t="s">
        <v>264</v>
      </c>
      <c r="I181" s="58">
        <v>68000</v>
      </c>
      <c r="J181" s="59">
        <v>32000</v>
      </c>
      <c r="K181" s="56"/>
      <c r="L181" s="60">
        <v>0.47058823529411764</v>
      </c>
      <c r="M181" s="57">
        <v>100000</v>
      </c>
      <c r="N181" s="56" t="s">
        <v>379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72"/>
    </row>
    <row r="182" spans="1:49" s="32" customFormat="1" x14ac:dyDescent="0.25">
      <c r="A182" s="48"/>
      <c r="B182" s="56">
        <v>40372018</v>
      </c>
      <c r="C182" s="56" t="s">
        <v>300</v>
      </c>
      <c r="D182" s="56"/>
      <c r="E182" s="57" t="s">
        <v>175</v>
      </c>
      <c r="F182" s="57" t="s">
        <v>201</v>
      </c>
      <c r="G182" s="57" t="s">
        <v>238</v>
      </c>
      <c r="H182" s="56" t="s">
        <v>240</v>
      </c>
      <c r="I182" s="58">
        <v>30000</v>
      </c>
      <c r="J182" s="59">
        <v>5000</v>
      </c>
      <c r="K182" s="56"/>
      <c r="L182" s="60">
        <v>0.16666666666666666</v>
      </c>
      <c r="M182" s="57">
        <v>35000</v>
      </c>
      <c r="N182" s="5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72"/>
    </row>
    <row r="183" spans="1:49" s="32" customFormat="1" x14ac:dyDescent="0.25">
      <c r="A183" s="48"/>
      <c r="B183" s="56">
        <v>40432018</v>
      </c>
      <c r="C183" s="56" t="s">
        <v>301</v>
      </c>
      <c r="D183" s="56"/>
      <c r="E183" s="57" t="s">
        <v>175</v>
      </c>
      <c r="F183" s="57" t="s">
        <v>201</v>
      </c>
      <c r="G183" s="57" t="s">
        <v>238</v>
      </c>
      <c r="H183" s="56" t="s">
        <v>239</v>
      </c>
      <c r="I183" s="58">
        <v>50000</v>
      </c>
      <c r="J183" s="59">
        <v>13000</v>
      </c>
      <c r="K183" s="56"/>
      <c r="L183" s="60">
        <v>0.26</v>
      </c>
      <c r="M183" s="57">
        <v>63000</v>
      </c>
      <c r="N183" s="5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72"/>
    </row>
    <row r="184" spans="1:49" s="32" customFormat="1" x14ac:dyDescent="0.25">
      <c r="A184" s="48"/>
      <c r="B184" s="56">
        <v>40592019</v>
      </c>
      <c r="C184" s="56" t="s">
        <v>303</v>
      </c>
      <c r="D184" s="56"/>
      <c r="E184" s="57" t="s">
        <v>175</v>
      </c>
      <c r="F184" s="57" t="s">
        <v>201</v>
      </c>
      <c r="G184" s="57" t="s">
        <v>238</v>
      </c>
      <c r="H184" s="56" t="s">
        <v>240</v>
      </c>
      <c r="I184" s="58">
        <v>25000</v>
      </c>
      <c r="J184" s="59">
        <v>5000</v>
      </c>
      <c r="K184" s="56"/>
      <c r="L184" s="60">
        <v>0.2</v>
      </c>
      <c r="M184" s="57">
        <v>30000</v>
      </c>
      <c r="N184" s="5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72"/>
    </row>
    <row r="185" spans="1:49" s="32" customFormat="1" x14ac:dyDescent="0.25">
      <c r="A185" s="48"/>
      <c r="B185" s="56">
        <v>40652019</v>
      </c>
      <c r="C185" s="56" t="s">
        <v>304</v>
      </c>
      <c r="D185" s="56"/>
      <c r="E185" s="57" t="s">
        <v>175</v>
      </c>
      <c r="F185" s="57" t="s">
        <v>201</v>
      </c>
      <c r="G185" s="57" t="s">
        <v>238</v>
      </c>
      <c r="H185" s="56" t="s">
        <v>239</v>
      </c>
      <c r="I185" s="58">
        <v>55000</v>
      </c>
      <c r="J185" s="59">
        <v>7000</v>
      </c>
      <c r="K185" s="56"/>
      <c r="L185" s="60">
        <v>0.12727272727272726</v>
      </c>
      <c r="M185" s="57">
        <v>62000</v>
      </c>
      <c r="N185" s="5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72"/>
    </row>
    <row r="186" spans="1:49" s="32" customFormat="1" x14ac:dyDescent="0.25">
      <c r="A186" s="48"/>
      <c r="B186" s="56">
        <v>41052020</v>
      </c>
      <c r="C186" s="56" t="s">
        <v>324</v>
      </c>
      <c r="D186" s="56"/>
      <c r="E186" s="57" t="s">
        <v>175</v>
      </c>
      <c r="F186" s="57" t="s">
        <v>201</v>
      </c>
      <c r="G186" s="57" t="s">
        <v>238</v>
      </c>
      <c r="H186" s="56" t="s">
        <v>17</v>
      </c>
      <c r="I186" s="58">
        <v>300000</v>
      </c>
      <c r="J186" s="59">
        <v>0</v>
      </c>
      <c r="K186" s="56"/>
      <c r="L186" s="60">
        <v>0</v>
      </c>
      <c r="M186" s="57">
        <v>300000</v>
      </c>
      <c r="N186" s="5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72"/>
    </row>
    <row r="187" spans="1:49" s="32" customFormat="1" x14ac:dyDescent="0.25">
      <c r="A187" s="48"/>
      <c r="B187" s="56">
        <v>41102020</v>
      </c>
      <c r="C187" s="56" t="s">
        <v>325</v>
      </c>
      <c r="D187" s="56"/>
      <c r="E187" s="57" t="s">
        <v>175</v>
      </c>
      <c r="F187" s="57" t="s">
        <v>201</v>
      </c>
      <c r="G187" s="57" t="s">
        <v>238</v>
      </c>
      <c r="H187" s="56" t="s">
        <v>239</v>
      </c>
      <c r="I187" s="58">
        <v>70000</v>
      </c>
      <c r="J187" s="59">
        <v>0</v>
      </c>
      <c r="K187" s="56"/>
      <c r="L187" s="60">
        <v>0</v>
      </c>
      <c r="M187" s="57">
        <v>70000</v>
      </c>
      <c r="N187" s="5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72"/>
    </row>
    <row r="188" spans="1:49" x14ac:dyDescent="0.25">
      <c r="A188" s="48"/>
      <c r="B188" s="56">
        <v>40772019</v>
      </c>
      <c r="C188" s="56" t="s">
        <v>326</v>
      </c>
      <c r="D188" s="56"/>
      <c r="E188" s="57" t="s">
        <v>175</v>
      </c>
      <c r="F188" s="57" t="s">
        <v>201</v>
      </c>
      <c r="G188" s="57" t="s">
        <v>238</v>
      </c>
      <c r="H188" s="56" t="s">
        <v>240</v>
      </c>
      <c r="I188" s="58">
        <v>15000</v>
      </c>
      <c r="J188" s="59">
        <v>7000</v>
      </c>
      <c r="K188" s="56"/>
      <c r="L188" s="60">
        <v>0.46666666666666667</v>
      </c>
      <c r="M188" s="57">
        <v>22000</v>
      </c>
      <c r="N188" s="56"/>
    </row>
    <row r="189" spans="1:49" x14ac:dyDescent="0.25">
      <c r="A189" s="48"/>
      <c r="B189" s="56">
        <v>40922020</v>
      </c>
      <c r="C189" s="56" t="s">
        <v>327</v>
      </c>
      <c r="D189" s="56"/>
      <c r="E189" s="57" t="s">
        <v>175</v>
      </c>
      <c r="F189" s="57" t="s">
        <v>201</v>
      </c>
      <c r="G189" s="57" t="s">
        <v>238</v>
      </c>
      <c r="H189" s="56" t="s">
        <v>8</v>
      </c>
      <c r="I189" s="58">
        <v>15000</v>
      </c>
      <c r="J189" s="59">
        <v>7000</v>
      </c>
      <c r="K189" s="56"/>
      <c r="L189" s="60">
        <v>0.46666666666666667</v>
      </c>
      <c r="M189" s="57">
        <v>22000</v>
      </c>
      <c r="N189" s="56"/>
    </row>
    <row r="190" spans="1:49" x14ac:dyDescent="0.25">
      <c r="A190" s="48"/>
      <c r="B190" s="56">
        <v>41172020</v>
      </c>
      <c r="C190" s="56" t="s">
        <v>328</v>
      </c>
      <c r="D190" s="56"/>
      <c r="E190" s="57" t="s">
        <v>175</v>
      </c>
      <c r="F190" s="57" t="s">
        <v>201</v>
      </c>
      <c r="G190" s="57" t="s">
        <v>238</v>
      </c>
      <c r="H190" s="56" t="s">
        <v>264</v>
      </c>
      <c r="I190" s="58">
        <v>125000</v>
      </c>
      <c r="J190" s="59">
        <v>0</v>
      </c>
      <c r="K190" s="56"/>
      <c r="L190" s="60">
        <v>0</v>
      </c>
      <c r="M190" s="57">
        <v>125000</v>
      </c>
      <c r="N190" s="56"/>
    </row>
    <row r="191" spans="1:49" x14ac:dyDescent="0.25">
      <c r="A191" s="48"/>
      <c r="B191" s="56">
        <v>41192020</v>
      </c>
      <c r="C191" s="56" t="s">
        <v>329</v>
      </c>
      <c r="D191" s="56"/>
      <c r="E191" s="57" t="s">
        <v>175</v>
      </c>
      <c r="F191" s="57" t="s">
        <v>201</v>
      </c>
      <c r="G191" s="57" t="s">
        <v>238</v>
      </c>
      <c r="H191" s="56" t="s">
        <v>239</v>
      </c>
      <c r="I191" s="58">
        <v>80000</v>
      </c>
      <c r="J191" s="59">
        <v>0</v>
      </c>
      <c r="K191" s="56"/>
      <c r="L191" s="60">
        <v>0</v>
      </c>
      <c r="M191" s="57">
        <v>80000</v>
      </c>
      <c r="N191" s="56"/>
    </row>
    <row r="192" spans="1:49" x14ac:dyDescent="0.25">
      <c r="A192" s="48"/>
      <c r="B192" s="56">
        <v>40782019</v>
      </c>
      <c r="C192" s="56" t="s">
        <v>330</v>
      </c>
      <c r="D192" s="56"/>
      <c r="E192" s="57" t="s">
        <v>175</v>
      </c>
      <c r="F192" s="57" t="s">
        <v>201</v>
      </c>
      <c r="G192" s="57" t="s">
        <v>238</v>
      </c>
      <c r="H192" s="56" t="s">
        <v>240</v>
      </c>
      <c r="I192" s="58">
        <v>15000</v>
      </c>
      <c r="J192" s="59">
        <v>10000</v>
      </c>
      <c r="K192" s="56"/>
      <c r="L192" s="60">
        <v>0.66666666666666663</v>
      </c>
      <c r="M192" s="57">
        <v>25000</v>
      </c>
      <c r="N192" s="56"/>
    </row>
    <row r="193" spans="1:14" x14ac:dyDescent="0.25">
      <c r="A193" s="48"/>
      <c r="B193" s="56">
        <v>41022020</v>
      </c>
      <c r="C193" s="56" t="s">
        <v>331</v>
      </c>
      <c r="D193" s="56"/>
      <c r="E193" s="57" t="s">
        <v>175</v>
      </c>
      <c r="F193" s="57" t="s">
        <v>201</v>
      </c>
      <c r="G193" s="57" t="s">
        <v>238</v>
      </c>
      <c r="H193" s="56" t="s">
        <v>240</v>
      </c>
      <c r="I193" s="58">
        <v>40000</v>
      </c>
      <c r="J193" s="59">
        <v>5000</v>
      </c>
      <c r="K193" s="56"/>
      <c r="L193" s="60">
        <v>0.125</v>
      </c>
      <c r="M193" s="57">
        <v>45000</v>
      </c>
      <c r="N193" s="56"/>
    </row>
    <row r="194" spans="1:14" x14ac:dyDescent="0.25">
      <c r="A194" s="48"/>
      <c r="B194" s="56">
        <v>40672019</v>
      </c>
      <c r="C194" s="56" t="s">
        <v>332</v>
      </c>
      <c r="D194" s="56"/>
      <c r="E194" s="57" t="s">
        <v>175</v>
      </c>
      <c r="F194" s="57" t="s">
        <v>201</v>
      </c>
      <c r="G194" s="57" t="s">
        <v>238</v>
      </c>
      <c r="H194" s="56" t="s">
        <v>17</v>
      </c>
      <c r="I194" s="58">
        <v>225000</v>
      </c>
      <c r="J194" s="59">
        <v>0</v>
      </c>
      <c r="K194" s="56"/>
      <c r="L194" s="60">
        <v>0</v>
      </c>
      <c r="M194" s="57">
        <v>225000</v>
      </c>
      <c r="N194" s="56"/>
    </row>
    <row r="195" spans="1:14" x14ac:dyDescent="0.25">
      <c r="A195" s="48"/>
      <c r="B195" s="56">
        <v>40892019</v>
      </c>
      <c r="C195" s="56" t="s">
        <v>333</v>
      </c>
      <c r="D195" s="56"/>
      <c r="E195" s="57" t="s">
        <v>175</v>
      </c>
      <c r="F195" s="57" t="s">
        <v>201</v>
      </c>
      <c r="G195" s="57" t="s">
        <v>238</v>
      </c>
      <c r="H195" s="56" t="s">
        <v>264</v>
      </c>
      <c r="I195" s="58">
        <v>90000</v>
      </c>
      <c r="J195" s="59">
        <v>0</v>
      </c>
      <c r="K195" s="56"/>
      <c r="L195" s="60">
        <v>0</v>
      </c>
      <c r="M195" s="57">
        <v>90000</v>
      </c>
      <c r="N195" s="56"/>
    </row>
    <row r="196" spans="1:14" x14ac:dyDescent="0.25">
      <c r="A196" s="48"/>
      <c r="B196" s="56">
        <v>40872019</v>
      </c>
      <c r="C196" s="56" t="s">
        <v>334</v>
      </c>
      <c r="D196" s="56"/>
      <c r="E196" s="57" t="s">
        <v>175</v>
      </c>
      <c r="F196" s="57" t="s">
        <v>201</v>
      </c>
      <c r="G196" s="57" t="s">
        <v>238</v>
      </c>
      <c r="H196" s="56" t="s">
        <v>240</v>
      </c>
      <c r="I196" s="58">
        <v>40000</v>
      </c>
      <c r="J196" s="59">
        <v>5000</v>
      </c>
      <c r="K196" s="56"/>
      <c r="L196" s="60">
        <v>0.125</v>
      </c>
      <c r="M196" s="57">
        <v>45000</v>
      </c>
      <c r="N196" s="56"/>
    </row>
    <row r="197" spans="1:14" x14ac:dyDescent="0.25">
      <c r="A197" s="48"/>
      <c r="B197" s="56">
        <v>40932020</v>
      </c>
      <c r="C197" s="56" t="s">
        <v>335</v>
      </c>
      <c r="D197" s="56"/>
      <c r="E197" s="57" t="s">
        <v>175</v>
      </c>
      <c r="F197" s="57" t="s">
        <v>201</v>
      </c>
      <c r="G197" s="57" t="s">
        <v>238</v>
      </c>
      <c r="H197" s="56" t="s">
        <v>8</v>
      </c>
      <c r="I197" s="58">
        <v>15000</v>
      </c>
      <c r="J197" s="59">
        <v>10000</v>
      </c>
      <c r="K197" s="56"/>
      <c r="L197" s="60">
        <v>0.66666666666666663</v>
      </c>
      <c r="M197" s="57">
        <v>25000</v>
      </c>
      <c r="N197" s="56"/>
    </row>
    <row r="198" spans="1:14" x14ac:dyDescent="0.25">
      <c r="A198" s="48"/>
      <c r="B198" s="56">
        <v>40982020</v>
      </c>
      <c r="C198" s="56" t="s">
        <v>336</v>
      </c>
      <c r="D198" s="56"/>
      <c r="E198" s="57" t="s">
        <v>175</v>
      </c>
      <c r="F198" s="57" t="s">
        <v>201</v>
      </c>
      <c r="G198" s="57" t="s">
        <v>238</v>
      </c>
      <c r="H198" s="56" t="s">
        <v>8</v>
      </c>
      <c r="I198" s="58">
        <v>25000</v>
      </c>
      <c r="J198" s="59">
        <v>0</v>
      </c>
      <c r="K198" s="56"/>
      <c r="L198" s="60">
        <v>0</v>
      </c>
      <c r="M198" s="57">
        <v>25000</v>
      </c>
      <c r="N198" s="56"/>
    </row>
    <row r="199" spans="1:14" x14ac:dyDescent="0.25">
      <c r="A199" s="48"/>
      <c r="B199" s="56">
        <v>40842019</v>
      </c>
      <c r="C199" s="56" t="s">
        <v>337</v>
      </c>
      <c r="D199" s="56"/>
      <c r="E199" s="57" t="s">
        <v>175</v>
      </c>
      <c r="F199" s="57" t="s">
        <v>201</v>
      </c>
      <c r="G199" s="57" t="s">
        <v>266</v>
      </c>
      <c r="H199" s="56" t="s">
        <v>135</v>
      </c>
      <c r="I199" s="58">
        <v>41000</v>
      </c>
      <c r="J199" s="59">
        <v>5000</v>
      </c>
      <c r="K199" s="56"/>
      <c r="L199" s="60">
        <v>0.12195121951219512</v>
      </c>
      <c r="M199" s="57">
        <v>46000</v>
      </c>
      <c r="N199" s="56"/>
    </row>
    <row r="200" spans="1:14" x14ac:dyDescent="0.25">
      <c r="A200" s="48"/>
      <c r="B200" s="56">
        <v>40852019</v>
      </c>
      <c r="C200" s="56" t="s">
        <v>338</v>
      </c>
      <c r="D200" s="56"/>
      <c r="E200" s="57" t="s">
        <v>175</v>
      </c>
      <c r="F200" s="57" t="s">
        <v>201</v>
      </c>
      <c r="G200" s="57" t="s">
        <v>266</v>
      </c>
      <c r="H200" s="56" t="s">
        <v>5</v>
      </c>
      <c r="I200" s="58">
        <v>39000</v>
      </c>
      <c r="J200" s="59">
        <v>5000</v>
      </c>
      <c r="K200" s="56"/>
      <c r="L200" s="60">
        <v>0.12820512820512819</v>
      </c>
      <c r="M200" s="57">
        <v>44000</v>
      </c>
      <c r="N200" s="56"/>
    </row>
    <row r="201" spans="1:14" x14ac:dyDescent="0.25">
      <c r="A201" s="48"/>
      <c r="B201" s="56">
        <v>40902019</v>
      </c>
      <c r="C201" s="56" t="s">
        <v>339</v>
      </c>
      <c r="D201" s="56"/>
      <c r="E201" s="57" t="s">
        <v>175</v>
      </c>
      <c r="F201" s="57" t="s">
        <v>201</v>
      </c>
      <c r="G201" s="57" t="s">
        <v>266</v>
      </c>
      <c r="H201" s="56" t="s">
        <v>267</v>
      </c>
      <c r="I201" s="58">
        <v>150000</v>
      </c>
      <c r="J201" s="59">
        <v>7000</v>
      </c>
      <c r="K201" s="56"/>
      <c r="L201" s="60">
        <v>4.6666666666666669E-2</v>
      </c>
      <c r="M201" s="57">
        <v>157000</v>
      </c>
      <c r="N201" s="56"/>
    </row>
    <row r="202" spans="1:14" x14ac:dyDescent="0.25">
      <c r="A202" s="48"/>
      <c r="B202" s="56">
        <v>11272018</v>
      </c>
      <c r="C202" s="56" t="s">
        <v>191</v>
      </c>
      <c r="D202" s="56"/>
      <c r="E202" s="57" t="s">
        <v>175</v>
      </c>
      <c r="F202" s="57" t="s">
        <v>201</v>
      </c>
      <c r="G202" s="57" t="s">
        <v>32</v>
      </c>
      <c r="H202" s="56" t="s">
        <v>3</v>
      </c>
      <c r="I202" s="58">
        <v>20000</v>
      </c>
      <c r="J202" s="59">
        <v>5000</v>
      </c>
      <c r="K202" s="56"/>
      <c r="L202" s="60">
        <v>0.25</v>
      </c>
      <c r="M202" s="57">
        <v>25000</v>
      </c>
      <c r="N202" s="56"/>
    </row>
    <row r="203" spans="1:14" x14ac:dyDescent="0.25">
      <c r="A203" s="48"/>
      <c r="B203" s="56">
        <v>10352009</v>
      </c>
      <c r="C203" s="56" t="s">
        <v>120</v>
      </c>
      <c r="D203" s="56"/>
      <c r="E203" s="57" t="s">
        <v>175</v>
      </c>
      <c r="F203" s="57" t="s">
        <v>201</v>
      </c>
      <c r="G203" s="57" t="s">
        <v>32</v>
      </c>
      <c r="H203" s="56" t="s">
        <v>33</v>
      </c>
      <c r="I203" s="58">
        <v>55000</v>
      </c>
      <c r="J203" s="59">
        <v>15000</v>
      </c>
      <c r="K203" s="56"/>
      <c r="L203" s="60">
        <v>0.27272727272727271</v>
      </c>
      <c r="M203" s="57">
        <v>70000</v>
      </c>
      <c r="N203" s="56"/>
    </row>
    <row r="204" spans="1:14" x14ac:dyDescent="0.25">
      <c r="A204" s="48"/>
      <c r="B204" s="56">
        <v>10952017</v>
      </c>
      <c r="C204" s="56" t="s">
        <v>121</v>
      </c>
      <c r="D204" s="56"/>
      <c r="E204" s="57" t="s">
        <v>175</v>
      </c>
      <c r="F204" s="57" t="s">
        <v>201</v>
      </c>
      <c r="G204" s="57" t="s">
        <v>32</v>
      </c>
      <c r="H204" s="56" t="s">
        <v>3</v>
      </c>
      <c r="I204" s="58">
        <v>23000</v>
      </c>
      <c r="J204" s="59">
        <v>4000</v>
      </c>
      <c r="K204" s="56"/>
      <c r="L204" s="60">
        <v>0.17391304347826086</v>
      </c>
      <c r="M204" s="57">
        <v>27000</v>
      </c>
      <c r="N204" s="56"/>
    </row>
    <row r="205" spans="1:14" x14ac:dyDescent="0.25">
      <c r="A205" s="48"/>
      <c r="B205" s="56">
        <v>20692016</v>
      </c>
      <c r="C205" s="56" t="s">
        <v>122</v>
      </c>
      <c r="D205" s="56"/>
      <c r="E205" s="57" t="s">
        <v>175</v>
      </c>
      <c r="F205" s="57" t="s">
        <v>201</v>
      </c>
      <c r="G205" s="57" t="s">
        <v>32</v>
      </c>
      <c r="H205" s="56" t="s">
        <v>4</v>
      </c>
      <c r="I205" s="58">
        <v>31000</v>
      </c>
      <c r="J205" s="59">
        <v>5000</v>
      </c>
      <c r="K205" s="56"/>
      <c r="L205" s="60">
        <v>0.16129032258064516</v>
      </c>
      <c r="M205" s="57">
        <v>36000</v>
      </c>
      <c r="N205" s="56"/>
    </row>
    <row r="206" spans="1:14" x14ac:dyDescent="0.25">
      <c r="A206" s="48"/>
      <c r="B206" s="56">
        <v>40422018</v>
      </c>
      <c r="C206" s="56" t="s">
        <v>231</v>
      </c>
      <c r="D206" s="56"/>
      <c r="E206" s="57" t="s">
        <v>175</v>
      </c>
      <c r="F206" s="57" t="s">
        <v>201</v>
      </c>
      <c r="G206" s="57" t="s">
        <v>32</v>
      </c>
      <c r="H206" s="56" t="s">
        <v>3</v>
      </c>
      <c r="I206" s="58">
        <v>23000</v>
      </c>
      <c r="J206" s="59">
        <v>5000</v>
      </c>
      <c r="K206" s="56"/>
      <c r="L206" s="60">
        <v>0.21739130434782608</v>
      </c>
      <c r="M206" s="57">
        <v>28000</v>
      </c>
      <c r="N206" s="56"/>
    </row>
    <row r="207" spans="1:14" x14ac:dyDescent="0.25">
      <c r="A207" s="48"/>
      <c r="B207" s="56">
        <v>40522018</v>
      </c>
      <c r="C207" s="56" t="s">
        <v>232</v>
      </c>
      <c r="D207" s="56"/>
      <c r="E207" s="57" t="s">
        <v>175</v>
      </c>
      <c r="F207" s="57" t="s">
        <v>201</v>
      </c>
      <c r="G207" s="57" t="s">
        <v>32</v>
      </c>
      <c r="H207" s="56" t="s">
        <v>21</v>
      </c>
      <c r="I207" s="58">
        <v>40000</v>
      </c>
      <c r="J207" s="59">
        <v>4000</v>
      </c>
      <c r="K207" s="56"/>
      <c r="L207" s="60">
        <v>0.1</v>
      </c>
      <c r="M207" s="57">
        <v>44000</v>
      </c>
      <c r="N207" s="56"/>
    </row>
    <row r="208" spans="1:14" x14ac:dyDescent="0.25">
      <c r="A208" s="48"/>
      <c r="B208" s="56">
        <v>40502018</v>
      </c>
      <c r="C208" s="56" t="s">
        <v>233</v>
      </c>
      <c r="D208" s="56"/>
      <c r="E208" s="57" t="s">
        <v>175</v>
      </c>
      <c r="F208" s="57" t="s">
        <v>201</v>
      </c>
      <c r="G208" s="57" t="s">
        <v>32</v>
      </c>
      <c r="H208" s="56" t="s">
        <v>3</v>
      </c>
      <c r="I208" s="58">
        <v>33000</v>
      </c>
      <c r="J208" s="59">
        <v>5000</v>
      </c>
      <c r="K208" s="56"/>
      <c r="L208" s="60">
        <v>0.15151515151515152</v>
      </c>
      <c r="M208" s="57">
        <v>38000</v>
      </c>
      <c r="N208" s="56"/>
    </row>
    <row r="209" spans="1:14" x14ac:dyDescent="0.25">
      <c r="A209" s="48"/>
      <c r="B209" s="48"/>
      <c r="C209" s="48"/>
      <c r="D209" s="48"/>
      <c r="E209" s="52"/>
      <c r="F209" s="52"/>
      <c r="G209" s="52"/>
      <c r="H209" s="48"/>
      <c r="I209" s="53"/>
      <c r="J209" s="54"/>
      <c r="K209" s="48"/>
      <c r="L209" s="55"/>
      <c r="M209" s="52"/>
      <c r="N209" s="48"/>
    </row>
    <row r="210" spans="1:14" x14ac:dyDescent="0.25">
      <c r="A210" s="47"/>
      <c r="B210" s="47"/>
      <c r="C210" s="47"/>
      <c r="D210" s="47"/>
      <c r="E210" s="49"/>
      <c r="F210" s="49"/>
      <c r="G210" s="49"/>
      <c r="H210" s="49"/>
      <c r="I210" s="50">
        <f>SUM(I137:I208)</f>
        <v>3593000</v>
      </c>
      <c r="J210" s="50">
        <f>SUM(J137:J208)</f>
        <v>391000</v>
      </c>
      <c r="K210" s="49"/>
      <c r="L210" s="51">
        <f>AVERAGE(L137:L208)</f>
        <v>0.19709680005322608</v>
      </c>
      <c r="M210" s="49">
        <f>SUM(M137:M208)</f>
        <v>3984000</v>
      </c>
      <c r="N210" s="49"/>
    </row>
    <row r="211" spans="1:14" x14ac:dyDescent="0.25">
      <c r="I211" s="44">
        <f>COUNTA(C137:C208)</f>
        <v>72</v>
      </c>
      <c r="J211" s="45">
        <f>J210/COUNTA(C137:C208)</f>
        <v>5430.5555555555557</v>
      </c>
    </row>
    <row r="214" spans="1:14" x14ac:dyDescent="0.25">
      <c r="I214" s="43">
        <v>3664000</v>
      </c>
      <c r="J214" s="45">
        <v>391000</v>
      </c>
    </row>
    <row r="215" spans="1:14" x14ac:dyDescent="0.25">
      <c r="J215" s="61">
        <f>J214/I214</f>
        <v>0.10671397379912664</v>
      </c>
    </row>
  </sheetData>
  <sortState ref="A3:N135">
    <sortCondition ref="G3:G135"/>
  </sortState>
  <conditionalFormatting sqref="B163:B1048576 B1:B161">
    <cfRule type="duplicateValues" dxfId="12" priority="4"/>
  </conditionalFormatting>
  <conditionalFormatting sqref="E1:E161 E163:E1048576">
    <cfRule type="containsText" dxfId="11" priority="3" operator="containsText" text="Inactive">
      <formula>NOT(ISERROR(SEARCH("Inactive",E1)))</formula>
    </cfRule>
  </conditionalFormatting>
  <conditionalFormatting sqref="B162">
    <cfRule type="duplicateValues" dxfId="10" priority="2"/>
  </conditionalFormatting>
  <conditionalFormatting sqref="E162">
    <cfRule type="containsText" dxfId="9" priority="1" operator="containsText" text="Inactive">
      <formula>NOT(ISERROR(SEARCH("Inactive",E162)))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A3F9-639D-483C-A17B-5424EAE4AC83}">
  <dimension ref="B2:U22"/>
  <sheetViews>
    <sheetView topLeftCell="A13" zoomScale="85" zoomScaleNormal="85" workbookViewId="0">
      <selection activeCell="K33" sqref="K33"/>
    </sheetView>
  </sheetViews>
  <sheetFormatPr defaultRowHeight="11.5" x14ac:dyDescent="0.25"/>
  <cols>
    <col min="1" max="1" width="0.90625" style="1" customWidth="1"/>
    <col min="2" max="2" width="3.36328125" style="1" customWidth="1"/>
    <col min="3" max="3" width="20.6328125" style="1" bestFit="1" customWidth="1"/>
    <col min="4" max="4" width="11.7265625" style="74" bestFit="1" customWidth="1"/>
    <col min="5" max="5" width="10.36328125" style="42" bestFit="1" customWidth="1"/>
    <col min="6" max="6" width="10.36328125" style="42" customWidth="1"/>
    <col min="7" max="7" width="9.26953125" style="1" bestFit="1" customWidth="1"/>
    <col min="8" max="8" width="9.1796875" style="1" bestFit="1" customWidth="1"/>
    <col min="9" max="9" width="11.7265625" style="1" bestFit="1" customWidth="1"/>
    <col min="10" max="10" width="10.36328125" style="1" bestFit="1" customWidth="1"/>
    <col min="11" max="11" width="10.36328125" style="1" customWidth="1"/>
    <col min="12" max="12" width="9.26953125" style="1" bestFit="1" customWidth="1"/>
    <col min="13" max="13" width="9.1796875" style="1" bestFit="1" customWidth="1"/>
    <col min="14" max="14" width="1.90625" style="1" customWidth="1"/>
    <col min="15" max="18" width="8.7265625" style="1"/>
    <col min="19" max="19" width="20.81640625" style="1" bestFit="1" customWidth="1"/>
    <col min="20" max="16384" width="8.7265625" style="1"/>
  </cols>
  <sheetData>
    <row r="2" spans="2:21" ht="8" customHeight="1" x14ac:dyDescent="0.25"/>
    <row r="3" spans="2:21" ht="14.5" customHeight="1" x14ac:dyDescent="0.25">
      <c r="B3" s="108" t="s">
        <v>0</v>
      </c>
      <c r="C3" s="108" t="s">
        <v>389</v>
      </c>
      <c r="D3" s="107">
        <v>2020</v>
      </c>
      <c r="E3" s="107"/>
      <c r="F3" s="107"/>
      <c r="G3" s="107"/>
      <c r="H3" s="107"/>
      <c r="I3" s="107" t="s">
        <v>397</v>
      </c>
      <c r="J3" s="107"/>
      <c r="K3" s="107"/>
      <c r="L3" s="107"/>
      <c r="M3" s="107"/>
    </row>
    <row r="4" spans="2:21" ht="31.5" x14ac:dyDescent="0.25">
      <c r="B4" s="108"/>
      <c r="C4" s="108"/>
      <c r="D4" s="88" t="s">
        <v>249</v>
      </c>
      <c r="E4" s="86" t="s">
        <v>392</v>
      </c>
      <c r="F4" s="86" t="s">
        <v>396</v>
      </c>
      <c r="G4" s="89" t="s">
        <v>390</v>
      </c>
      <c r="H4" s="89" t="s">
        <v>391</v>
      </c>
      <c r="I4" s="88" t="s">
        <v>249</v>
      </c>
      <c r="J4" s="86" t="s">
        <v>392</v>
      </c>
      <c r="K4" s="86" t="s">
        <v>396</v>
      </c>
      <c r="L4" s="89" t="s">
        <v>390</v>
      </c>
      <c r="M4" s="89" t="s">
        <v>391</v>
      </c>
      <c r="S4" s="1" t="s">
        <v>398</v>
      </c>
      <c r="T4" s="1">
        <v>2019</v>
      </c>
      <c r="U4" s="1">
        <v>2020</v>
      </c>
    </row>
    <row r="5" spans="2:21" s="98" customFormat="1" ht="14.5" customHeight="1" x14ac:dyDescent="0.35">
      <c r="B5" s="77">
        <v>1</v>
      </c>
      <c r="C5" s="90" t="s">
        <v>238</v>
      </c>
      <c r="D5" s="91">
        <f ca="1">'2020_PDL'!Q32</f>
        <v>116000</v>
      </c>
      <c r="E5" s="92">
        <f>'2020_PDL'!R32</f>
        <v>19</v>
      </c>
      <c r="F5" s="84">
        <f ca="1">D5/E5</f>
        <v>6105.2631578947367</v>
      </c>
      <c r="G5" s="93">
        <f ca="1">'2020_PDL'!S32</f>
        <v>0.19840872234061088</v>
      </c>
      <c r="H5" s="94">
        <f ca="1">'2020_PDL'!U32</f>
        <v>7.160493827160494E-2</v>
      </c>
      <c r="I5" s="95">
        <f ca="1">'2019_PDL'!Q122</f>
        <v>40000</v>
      </c>
      <c r="J5" s="77">
        <f>'2019_PDL'!R122</f>
        <v>7</v>
      </c>
      <c r="K5" s="96">
        <f ca="1">I5/J5</f>
        <v>5714.2857142857147</v>
      </c>
      <c r="L5" s="94">
        <f ca="1">'2019_PDL'!S122</f>
        <v>0.20122655122655123</v>
      </c>
      <c r="M5" s="97">
        <f ca="1">'2019_PDL'!U122</f>
        <v>2.6092628832354858E-2</v>
      </c>
      <c r="R5" s="99"/>
      <c r="S5" s="99" t="s">
        <v>238</v>
      </c>
      <c r="T5" s="98">
        <v>40000</v>
      </c>
      <c r="U5" s="98">
        <v>116000</v>
      </c>
    </row>
    <row r="6" spans="2:21" s="100" customFormat="1" ht="14.5" customHeight="1" x14ac:dyDescent="0.35">
      <c r="B6" s="87">
        <v>2</v>
      </c>
      <c r="C6" s="90" t="s">
        <v>36</v>
      </c>
      <c r="D6" s="91">
        <f ca="1">'2020_PDL'!Q33</f>
        <v>62000</v>
      </c>
      <c r="E6" s="92">
        <f>'2020_PDL'!R33</f>
        <v>9</v>
      </c>
      <c r="F6" s="84">
        <f t="shared" ref="F6:F15" ca="1" si="0">D6/E6</f>
        <v>6888.8888888888887</v>
      </c>
      <c r="G6" s="93">
        <f ca="1">'2020_PDL'!S33</f>
        <v>0.22847122013788684</v>
      </c>
      <c r="H6" s="94">
        <f ca="1">'2020_PDL'!U33</f>
        <v>0.14351851851851852</v>
      </c>
      <c r="I6" s="95">
        <f ca="1">'2019_PDL'!Q123</f>
        <v>41000</v>
      </c>
      <c r="J6" s="77">
        <f>'2019_PDL'!R123</f>
        <v>6</v>
      </c>
      <c r="K6" s="96">
        <f t="shared" ref="K6:K15" ca="1" si="1">I6/J6</f>
        <v>6833.333333333333</v>
      </c>
      <c r="L6" s="94">
        <f ca="1">'2019_PDL'!S123</f>
        <v>0.26227106227106228</v>
      </c>
      <c r="M6" s="97">
        <f ca="1">'2019_PDL'!U123</f>
        <v>9.4907407407407413E-2</v>
      </c>
      <c r="S6" s="98" t="s">
        <v>36</v>
      </c>
      <c r="T6" s="100">
        <v>41000</v>
      </c>
      <c r="U6" s="100">
        <v>62000</v>
      </c>
    </row>
    <row r="7" spans="2:21" s="98" customFormat="1" ht="14.5" customHeight="1" x14ac:dyDescent="0.35">
      <c r="B7" s="77">
        <v>3</v>
      </c>
      <c r="C7" s="90" t="s">
        <v>37</v>
      </c>
      <c r="D7" s="91">
        <f ca="1">'2020_PDL'!Q34</f>
        <v>8000</v>
      </c>
      <c r="E7" s="92">
        <f>'2020_PDL'!R34</f>
        <v>4</v>
      </c>
      <c r="F7" s="84">
        <f t="shared" ca="1" si="0"/>
        <v>2000</v>
      </c>
      <c r="G7" s="93">
        <f ca="1">'2020_PDL'!S34</f>
        <v>4.4444444444444446E-2</v>
      </c>
      <c r="H7" s="94">
        <f ca="1">'2020_PDL'!U34</f>
        <v>3.7383177570093455E-2</v>
      </c>
      <c r="I7" s="95">
        <f ca="1">'2019_PDL'!Q124</f>
        <v>8000</v>
      </c>
      <c r="J7" s="77">
        <f>'2019_PDL'!R124</f>
        <v>2</v>
      </c>
      <c r="K7" s="96">
        <f t="shared" ca="1" si="1"/>
        <v>4000</v>
      </c>
      <c r="L7" s="94">
        <f ca="1">'2019_PDL'!S124</f>
        <v>0.10535714285714286</v>
      </c>
      <c r="M7" s="97">
        <f ca="1">'2019_PDL'!U124</f>
        <v>2.8776978417266189E-2</v>
      </c>
      <c r="S7" s="98" t="s">
        <v>37</v>
      </c>
      <c r="T7" s="98">
        <v>8000</v>
      </c>
      <c r="U7" s="98">
        <v>8000</v>
      </c>
    </row>
    <row r="8" spans="2:21" s="98" customFormat="1" ht="14.5" customHeight="1" x14ac:dyDescent="0.35">
      <c r="B8" s="87">
        <v>4</v>
      </c>
      <c r="C8" s="90" t="s">
        <v>32</v>
      </c>
      <c r="D8" s="91">
        <f ca="1">'2020_PDL'!Q35</f>
        <v>43000</v>
      </c>
      <c r="E8" s="92">
        <f>'2020_PDL'!R35</f>
        <v>7</v>
      </c>
      <c r="F8" s="84">
        <f t="shared" ca="1" si="0"/>
        <v>6142.8571428571431</v>
      </c>
      <c r="G8" s="93">
        <f ca="1">'2020_PDL'!S35</f>
        <v>0.18954815637845093</v>
      </c>
      <c r="H8" s="94">
        <f ca="1">'2020_PDL'!U35</f>
        <v>0.19111111111111112</v>
      </c>
      <c r="I8" s="95">
        <f ca="1">'2019_PDL'!Q125</f>
        <v>29000</v>
      </c>
      <c r="J8" s="77">
        <f>'2019_PDL'!R125</f>
        <v>6</v>
      </c>
      <c r="K8" s="96">
        <f t="shared" ca="1" si="1"/>
        <v>4833.333333333333</v>
      </c>
      <c r="L8" s="94">
        <f ca="1">'2019_PDL'!S125</f>
        <v>0.17766695266695268</v>
      </c>
      <c r="M8" s="97">
        <f ca="1">'2019_PDL'!U125</f>
        <v>0.14146341463414633</v>
      </c>
      <c r="S8" s="98" t="s">
        <v>32</v>
      </c>
      <c r="T8" s="98">
        <v>29000</v>
      </c>
      <c r="U8" s="98">
        <v>43000</v>
      </c>
    </row>
    <row r="9" spans="2:21" s="98" customFormat="1" ht="14.5" customHeight="1" x14ac:dyDescent="0.35">
      <c r="B9" s="77">
        <v>5</v>
      </c>
      <c r="C9" s="90" t="s">
        <v>19</v>
      </c>
      <c r="D9" s="91">
        <f ca="1">'2020_PDL'!Q36</f>
        <v>86000</v>
      </c>
      <c r="E9" s="92">
        <f>'2020_PDL'!R36</f>
        <v>14</v>
      </c>
      <c r="F9" s="84">
        <f t="shared" ca="1" si="0"/>
        <v>6142.8571428571431</v>
      </c>
      <c r="G9" s="93">
        <f ca="1">'2020_PDL'!S36</f>
        <v>0.30007728193761229</v>
      </c>
      <c r="H9" s="94">
        <f ca="1">'2020_PDL'!U36</f>
        <v>0.22279792746113988</v>
      </c>
      <c r="I9" s="95">
        <f ca="1">'2019_PDL'!Q126</f>
        <v>40000</v>
      </c>
      <c r="J9" s="77">
        <f>'2019_PDL'!R126</f>
        <v>10</v>
      </c>
      <c r="K9" s="96">
        <f t="shared" ca="1" si="1"/>
        <v>4000</v>
      </c>
      <c r="L9" s="94">
        <f ca="1">'2019_PDL'!S126</f>
        <v>0.21089032035965699</v>
      </c>
      <c r="M9" s="97">
        <f ca="1">'2019_PDL'!U126</f>
        <v>0.13513513513513514</v>
      </c>
      <c r="S9" s="98" t="s">
        <v>19</v>
      </c>
      <c r="T9" s="98">
        <v>40000</v>
      </c>
      <c r="U9" s="98">
        <v>86000</v>
      </c>
    </row>
    <row r="10" spans="2:21" s="98" customFormat="1" ht="14.5" customHeight="1" x14ac:dyDescent="0.35">
      <c r="B10" s="87">
        <v>6</v>
      </c>
      <c r="C10" s="90" t="s">
        <v>138</v>
      </c>
      <c r="D10" s="91">
        <f ca="1">'2020_PDL'!Q37</f>
        <v>26000</v>
      </c>
      <c r="E10" s="92">
        <f>'2020_PDL'!R37</f>
        <v>3</v>
      </c>
      <c r="F10" s="84">
        <f t="shared" ca="1" si="0"/>
        <v>8666.6666666666661</v>
      </c>
      <c r="G10" s="93">
        <f ca="1">'2020_PDL'!S37</f>
        <v>0.29589371980676327</v>
      </c>
      <c r="H10" s="94">
        <f ca="1">'2020_PDL'!U37</f>
        <v>0.29213483146067415</v>
      </c>
      <c r="I10" s="95">
        <f ca="1">'2019_PDL'!Q127</f>
        <v>14000</v>
      </c>
      <c r="J10" s="77">
        <f>'2019_PDL'!R127</f>
        <v>3</v>
      </c>
      <c r="K10" s="96">
        <f t="shared" ca="1" si="1"/>
        <v>4666.666666666667</v>
      </c>
      <c r="L10" s="94">
        <f ca="1">'2019_PDL'!S127</f>
        <v>0.17222222222222219</v>
      </c>
      <c r="M10" s="97">
        <f ca="1">'2019_PDL'!U127</f>
        <v>0.14285714285714285</v>
      </c>
      <c r="S10" s="98" t="s">
        <v>138</v>
      </c>
      <c r="T10" s="98">
        <v>14000</v>
      </c>
      <c r="U10" s="98">
        <v>26000</v>
      </c>
    </row>
    <row r="11" spans="2:21" s="98" customFormat="1" ht="14.5" customHeight="1" x14ac:dyDescent="0.35">
      <c r="B11" s="77">
        <v>7</v>
      </c>
      <c r="C11" s="90" t="s">
        <v>258</v>
      </c>
      <c r="D11" s="91">
        <f ca="1">'2020_PDL'!Q38</f>
        <v>15000</v>
      </c>
      <c r="E11" s="92">
        <f>'2020_PDL'!R38</f>
        <v>2</v>
      </c>
      <c r="F11" s="84">
        <f t="shared" ca="1" si="0"/>
        <v>7500</v>
      </c>
      <c r="G11" s="93">
        <f ca="1">'2020_PDL'!S38</f>
        <v>0.16666666666666666</v>
      </c>
      <c r="H11" s="94">
        <f ca="1">'2020_PDL'!U38</f>
        <v>0.16666666666666666</v>
      </c>
      <c r="I11" s="95">
        <f>'2019_PDL'!Q128</f>
        <v>0</v>
      </c>
      <c r="J11" s="77">
        <f>'2019_PDL'!R128</f>
        <v>0</v>
      </c>
      <c r="K11" s="96">
        <v>0</v>
      </c>
      <c r="L11" s="94">
        <f>'2019_PDL'!S128</f>
        <v>0</v>
      </c>
      <c r="M11" s="97">
        <f>'2019_PDL'!U128</f>
        <v>0</v>
      </c>
      <c r="S11" s="98" t="s">
        <v>258</v>
      </c>
      <c r="T11" s="98">
        <v>0</v>
      </c>
      <c r="U11" s="98">
        <v>15000</v>
      </c>
    </row>
    <row r="12" spans="2:21" s="98" customFormat="1" ht="14.5" customHeight="1" x14ac:dyDescent="0.35">
      <c r="B12" s="87">
        <v>8</v>
      </c>
      <c r="C12" s="90" t="s">
        <v>266</v>
      </c>
      <c r="D12" s="91">
        <f ca="1">'2020_PDL'!Q39</f>
        <v>17000</v>
      </c>
      <c r="E12" s="92">
        <f>'2020_PDL'!R39</f>
        <v>3</v>
      </c>
      <c r="F12" s="84">
        <f t="shared" ca="1" si="0"/>
        <v>5666.666666666667</v>
      </c>
      <c r="G12" s="93">
        <f ca="1">'2020_PDL'!S39</f>
        <v>9.8941004794663334E-2</v>
      </c>
      <c r="H12" s="94">
        <f ca="1">'2020_PDL'!U39</f>
        <v>8.9473684210526316E-2</v>
      </c>
      <c r="I12" s="95">
        <f>'2019_PDL'!Q129</f>
        <v>0</v>
      </c>
      <c r="J12" s="77">
        <f>'2019_PDL'!R129</f>
        <v>0</v>
      </c>
      <c r="K12" s="96">
        <v>0</v>
      </c>
      <c r="L12" s="94">
        <f>'2019_PDL'!S129</f>
        <v>0</v>
      </c>
      <c r="M12" s="97">
        <f>'2019_PDL'!U129</f>
        <v>0</v>
      </c>
      <c r="S12" s="98" t="s">
        <v>266</v>
      </c>
      <c r="T12" s="98">
        <v>0</v>
      </c>
      <c r="U12" s="98">
        <v>17000</v>
      </c>
    </row>
    <row r="13" spans="2:21" s="98" customFormat="1" ht="14.5" customHeight="1" x14ac:dyDescent="0.35">
      <c r="B13" s="77">
        <v>9</v>
      </c>
      <c r="C13" s="90" t="s">
        <v>245</v>
      </c>
      <c r="D13" s="91">
        <f ca="1">'2020_PDL'!Q40</f>
        <v>3000</v>
      </c>
      <c r="E13" s="92">
        <f>'2020_PDL'!R40</f>
        <v>1</v>
      </c>
      <c r="F13" s="84">
        <f t="shared" ca="1" si="0"/>
        <v>3000</v>
      </c>
      <c r="G13" s="93">
        <f ca="1">'2020_PDL'!S40</f>
        <v>0.02</v>
      </c>
      <c r="H13" s="94">
        <f ca="1">'2020_PDL'!U40</f>
        <v>1.5625E-2</v>
      </c>
      <c r="I13" s="95">
        <f ca="1">'2019_PDL'!Q130</f>
        <v>0</v>
      </c>
      <c r="J13" s="77">
        <f>'2019_PDL'!R130</f>
        <v>1</v>
      </c>
      <c r="K13" s="96">
        <f t="shared" ca="1" si="1"/>
        <v>0</v>
      </c>
      <c r="L13" s="94">
        <f>'2019_PDL'!S130</f>
        <v>0</v>
      </c>
      <c r="M13" s="97">
        <f ca="1">'2019_PDL'!U130</f>
        <v>0</v>
      </c>
      <c r="S13" s="98" t="s">
        <v>245</v>
      </c>
      <c r="T13" s="98">
        <v>0</v>
      </c>
      <c r="U13" s="98">
        <v>3000</v>
      </c>
    </row>
    <row r="14" spans="2:21" s="98" customFormat="1" ht="14.5" customHeight="1" x14ac:dyDescent="0.35">
      <c r="B14" s="87">
        <v>10</v>
      </c>
      <c r="C14" s="90" t="s">
        <v>146</v>
      </c>
      <c r="D14" s="91">
        <f ca="1">'2020_PDL'!Q41</f>
        <v>0</v>
      </c>
      <c r="E14" s="92">
        <f>'2020_PDL'!R41</f>
        <v>3</v>
      </c>
      <c r="F14" s="84">
        <f t="shared" ca="1" si="0"/>
        <v>0</v>
      </c>
      <c r="G14" s="93">
        <f ca="1">'2020_PDL'!S41</f>
        <v>0</v>
      </c>
      <c r="H14" s="94">
        <f ca="1">'2020_PDL'!U41</f>
        <v>0</v>
      </c>
      <c r="I14" s="95">
        <f>'2019_PDL'!Q131</f>
        <v>0</v>
      </c>
      <c r="J14" s="77">
        <f>'2019_PDL'!R131</f>
        <v>0</v>
      </c>
      <c r="K14" s="96">
        <v>0</v>
      </c>
      <c r="L14" s="94">
        <f>'2019_PDL'!S131</f>
        <v>0</v>
      </c>
      <c r="M14" s="97">
        <f>'2019_PDL'!U131</f>
        <v>0</v>
      </c>
      <c r="S14" s="98" t="s">
        <v>146</v>
      </c>
      <c r="T14" s="98">
        <v>0</v>
      </c>
      <c r="U14" s="98">
        <v>0</v>
      </c>
    </row>
    <row r="15" spans="2:21" s="98" customFormat="1" ht="14.5" customHeight="1" x14ac:dyDescent="0.35">
      <c r="B15" s="77">
        <v>11</v>
      </c>
      <c r="C15" s="90" t="s">
        <v>20</v>
      </c>
      <c r="D15" s="91">
        <f ca="1">'2020_PDL'!Q42</f>
        <v>15000</v>
      </c>
      <c r="E15" s="92">
        <f>'2020_PDL'!R42</f>
        <v>7</v>
      </c>
      <c r="F15" s="84">
        <f t="shared" ca="1" si="0"/>
        <v>2142.8571428571427</v>
      </c>
      <c r="G15" s="93">
        <f ca="1">'2020_PDL'!S42</f>
        <v>0.16020408163265307</v>
      </c>
      <c r="H15" s="94">
        <f ca="1">'2020_PDL'!U42</f>
        <v>0.21126760563380281</v>
      </c>
      <c r="I15" s="95">
        <f ca="1">'2019_PDL'!Q132</f>
        <v>18000</v>
      </c>
      <c r="J15" s="77">
        <f>'2019_PDL'!R132</f>
        <v>6</v>
      </c>
      <c r="K15" s="96">
        <f t="shared" ca="1" si="1"/>
        <v>3000</v>
      </c>
      <c r="L15" s="94">
        <f ca="1">'2019_PDL'!S132</f>
        <v>0.2452239789196311</v>
      </c>
      <c r="M15" s="97">
        <f ca="1">'2019_PDL'!U132</f>
        <v>0.18556701030927836</v>
      </c>
      <c r="S15" s="98" t="s">
        <v>20</v>
      </c>
      <c r="T15" s="98">
        <v>18000</v>
      </c>
      <c r="U15" s="98">
        <v>15000</v>
      </c>
    </row>
    <row r="16" spans="2:21" s="98" customFormat="1" ht="14.5" customHeight="1" thickBot="1" x14ac:dyDescent="0.4">
      <c r="B16" s="101"/>
      <c r="C16" s="101"/>
      <c r="D16" s="81">
        <f ca="1">SUM(D5:D15)</f>
        <v>391000</v>
      </c>
      <c r="E16" s="82">
        <f>SUM(E5:E15)</f>
        <v>72</v>
      </c>
      <c r="F16" s="85">
        <f ca="1">D16/E16</f>
        <v>5430.5555555555557</v>
      </c>
      <c r="G16" s="102">
        <f ca="1">AVERAGE(G5:G15)</f>
        <v>0.15478684528543199</v>
      </c>
      <c r="H16" s="102">
        <f ca="1">'2020'!Q179</f>
        <v>0.10671397379912664</v>
      </c>
      <c r="I16" s="81">
        <f ca="1">SUM(I5:I15)</f>
        <v>190000</v>
      </c>
      <c r="J16" s="82">
        <f>SUM(J5:J15)</f>
        <v>41</v>
      </c>
      <c r="K16" s="85">
        <f ca="1">I16/J16</f>
        <v>4634.1463414634145</v>
      </c>
      <c r="L16" s="103">
        <f ca="1">AVERAGE(L5:L15)</f>
        <v>0.12498711186574721</v>
      </c>
      <c r="M16" s="103">
        <f ca="1">'2019_PDL'!Q136</f>
        <v>5.7944495272949072E-2</v>
      </c>
    </row>
    <row r="17" spans="2:16" ht="12" thickTop="1" x14ac:dyDescent="0.25">
      <c r="B17" s="78"/>
      <c r="C17" s="78"/>
      <c r="D17" s="79"/>
      <c r="E17" s="80"/>
      <c r="F17" s="80"/>
      <c r="G17" s="78"/>
      <c r="H17" s="78"/>
      <c r="I17" s="78"/>
      <c r="J17" s="78"/>
      <c r="K17" s="78"/>
      <c r="L17" s="78"/>
      <c r="M17" s="78"/>
    </row>
    <row r="18" spans="2:16" x14ac:dyDescent="0.25">
      <c r="D18" s="75"/>
      <c r="E18" s="76"/>
      <c r="F18" s="76"/>
    </row>
    <row r="21" spans="2:16" x14ac:dyDescent="0.25">
      <c r="O21" s="66"/>
      <c r="P21" s="66"/>
    </row>
    <row r="22" spans="2:16" x14ac:dyDescent="0.25">
      <c r="O22" s="65"/>
      <c r="P22" s="65"/>
    </row>
  </sheetData>
  <mergeCells count="4">
    <mergeCell ref="D3:H3"/>
    <mergeCell ref="I3:M3"/>
    <mergeCell ref="C3:C4"/>
    <mergeCell ref="B3:B4"/>
  </mergeCells>
  <pageMargins left="0.37" right="0.2" top="0.4" bottom="0.37" header="0.3" footer="0.3"/>
  <pageSetup paperSize="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4E84-963C-4344-9BDE-F5E8A4682E2D}">
  <dimension ref="A1:AW80"/>
  <sheetViews>
    <sheetView topLeftCell="A28" zoomScale="90" zoomScaleNormal="90" workbookViewId="0">
      <pane xSplit="3" topLeftCell="I1" activePane="topRight" state="frozen"/>
      <selection pane="topRight" activeCell="Q32" sqref="Q32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7265625" style="43"/>
    <col min="6" max="6" width="20.08984375" style="43" bestFit="1" customWidth="1"/>
    <col min="7" max="7" width="21.6328125" style="43" bestFit="1" customWidth="1"/>
    <col min="8" max="8" width="23.81640625" style="44" bestFit="1" customWidth="1"/>
    <col min="9" max="9" width="12.54296875" style="44" bestFit="1" customWidth="1"/>
    <col min="10" max="10" width="9.453125" style="45" bestFit="1" customWidth="1"/>
    <col min="11" max="11" width="8.7265625" style="44"/>
    <col min="12" max="12" width="9.08984375" style="46" bestFit="1" customWidth="1"/>
    <col min="13" max="13" width="10.7265625" style="43" bestFit="1" customWidth="1"/>
    <col min="14" max="14" width="10.81640625" style="44" customWidth="1"/>
    <col min="15" max="15" width="8.7265625" style="1"/>
    <col min="16" max="16" width="21" style="1" bestFit="1" customWidth="1"/>
    <col min="17" max="17" width="9.7265625" style="1" customWidth="1"/>
    <col min="18" max="18" width="4.26953125" style="1" bestFit="1" customWidth="1"/>
    <col min="19" max="19" width="11.1796875" style="1" bestFit="1" customWidth="1"/>
    <col min="20" max="20" width="12.54296875" style="1" bestFit="1" customWidth="1"/>
    <col min="21" max="33" width="8.7265625" style="1"/>
    <col min="34" max="48" width="8.7265625" style="44"/>
    <col min="49" max="16384" width="8.7265625" style="1"/>
  </cols>
  <sheetData>
    <row r="1" spans="1:49" s="4" customFormat="1" ht="35.5" customHeight="1" x14ac:dyDescent="0.35">
      <c r="A1" s="47" t="s">
        <v>0</v>
      </c>
      <c r="B1" s="47" t="s">
        <v>1</v>
      </c>
      <c r="C1" s="47" t="s">
        <v>2</v>
      </c>
      <c r="D1" s="47" t="s">
        <v>183</v>
      </c>
      <c r="E1" s="49" t="s">
        <v>173</v>
      </c>
      <c r="F1" s="49" t="s">
        <v>250</v>
      </c>
      <c r="G1" s="49" t="s">
        <v>251</v>
      </c>
      <c r="H1" s="49" t="s">
        <v>252</v>
      </c>
      <c r="I1" s="50" t="s">
        <v>289</v>
      </c>
      <c r="J1" s="49" t="s">
        <v>253</v>
      </c>
      <c r="K1" s="49" t="s">
        <v>254</v>
      </c>
      <c r="L1" s="51" t="s">
        <v>296</v>
      </c>
      <c r="M1" s="49" t="s">
        <v>255</v>
      </c>
      <c r="N1" s="49" t="s">
        <v>256</v>
      </c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</row>
    <row r="2" spans="1:49" x14ac:dyDescent="0.25">
      <c r="A2" s="48">
        <v>1</v>
      </c>
      <c r="B2" s="56">
        <v>10582015</v>
      </c>
      <c r="C2" s="56" t="s">
        <v>110</v>
      </c>
      <c r="D2" s="56"/>
      <c r="E2" s="57" t="s">
        <v>175</v>
      </c>
      <c r="F2" s="57" t="s">
        <v>201</v>
      </c>
      <c r="G2" s="57" t="s">
        <v>20</v>
      </c>
      <c r="H2" s="56" t="s">
        <v>27</v>
      </c>
      <c r="I2" s="58">
        <v>14000</v>
      </c>
      <c r="J2" s="59">
        <v>2000</v>
      </c>
      <c r="K2" s="56"/>
      <c r="L2" s="60">
        <v>0.14285714285714285</v>
      </c>
      <c r="M2" s="57">
        <v>16000</v>
      </c>
      <c r="N2" s="56"/>
    </row>
    <row r="3" spans="1:49" x14ac:dyDescent="0.25">
      <c r="A3" s="48">
        <v>2</v>
      </c>
      <c r="B3" s="56">
        <v>20792016</v>
      </c>
      <c r="C3" s="56" t="s">
        <v>111</v>
      </c>
      <c r="D3" s="56"/>
      <c r="E3" s="57" t="s">
        <v>175</v>
      </c>
      <c r="F3" s="57" t="s">
        <v>201</v>
      </c>
      <c r="G3" s="57" t="s">
        <v>20</v>
      </c>
      <c r="H3" s="56" t="s">
        <v>27</v>
      </c>
      <c r="I3" s="58">
        <v>14000</v>
      </c>
      <c r="J3" s="59">
        <v>2000</v>
      </c>
      <c r="K3" s="56"/>
      <c r="L3" s="60">
        <v>0.14285714285714285</v>
      </c>
      <c r="M3" s="57">
        <v>16000</v>
      </c>
      <c r="N3" s="56"/>
    </row>
    <row r="4" spans="1:49" x14ac:dyDescent="0.25">
      <c r="A4" s="48">
        <v>3</v>
      </c>
      <c r="B4" s="56">
        <v>21122017</v>
      </c>
      <c r="C4" s="56" t="s">
        <v>114</v>
      </c>
      <c r="D4" s="56"/>
      <c r="E4" s="57" t="s">
        <v>175</v>
      </c>
      <c r="F4" s="57" t="s">
        <v>201</v>
      </c>
      <c r="G4" s="57" t="s">
        <v>20</v>
      </c>
      <c r="H4" s="56" t="s">
        <v>27</v>
      </c>
      <c r="I4" s="58">
        <v>14000</v>
      </c>
      <c r="J4" s="59">
        <v>2000</v>
      </c>
      <c r="K4" s="56"/>
      <c r="L4" s="60">
        <v>0.14285714285714285</v>
      </c>
      <c r="M4" s="57">
        <v>16000</v>
      </c>
      <c r="N4" s="56"/>
    </row>
    <row r="5" spans="1:49" x14ac:dyDescent="0.25">
      <c r="A5" s="48">
        <v>4</v>
      </c>
      <c r="B5" s="56">
        <v>21392018</v>
      </c>
      <c r="C5" s="56" t="s">
        <v>57</v>
      </c>
      <c r="D5" s="56"/>
      <c r="E5" s="57" t="s">
        <v>175</v>
      </c>
      <c r="F5" s="57" t="s">
        <v>201</v>
      </c>
      <c r="G5" s="57" t="s">
        <v>20</v>
      </c>
      <c r="H5" s="56" t="s">
        <v>27</v>
      </c>
      <c r="I5" s="58">
        <v>14000</v>
      </c>
      <c r="J5" s="59">
        <v>2000</v>
      </c>
      <c r="K5" s="56"/>
      <c r="L5" s="60">
        <v>0.14285714285714285</v>
      </c>
      <c r="M5" s="57">
        <v>16000</v>
      </c>
      <c r="N5" s="56"/>
    </row>
    <row r="6" spans="1:49" x14ac:dyDescent="0.25">
      <c r="A6" s="48">
        <v>5</v>
      </c>
      <c r="B6" s="56">
        <v>40332018</v>
      </c>
      <c r="C6" s="56" t="s">
        <v>302</v>
      </c>
      <c r="D6" s="56"/>
      <c r="E6" s="57" t="s">
        <v>175</v>
      </c>
      <c r="F6" s="57" t="s">
        <v>201</v>
      </c>
      <c r="G6" s="57" t="s">
        <v>20</v>
      </c>
      <c r="H6" s="56" t="s">
        <v>29</v>
      </c>
      <c r="I6" s="58">
        <v>15000</v>
      </c>
      <c r="J6" s="59">
        <v>2000</v>
      </c>
      <c r="K6" s="56"/>
      <c r="L6" s="60">
        <v>0.13333333333333333</v>
      </c>
      <c r="M6" s="57">
        <v>17000</v>
      </c>
      <c r="N6" s="56"/>
    </row>
    <row r="7" spans="1:49" s="32" customFormat="1" x14ac:dyDescent="0.25">
      <c r="A7" s="48">
        <v>6</v>
      </c>
      <c r="B7" s="56">
        <v>40962020</v>
      </c>
      <c r="C7" s="56" t="s">
        <v>259</v>
      </c>
      <c r="D7" s="56"/>
      <c r="E7" s="57" t="s">
        <v>175</v>
      </c>
      <c r="F7" s="57" t="s">
        <v>201</v>
      </c>
      <c r="G7" s="57" t="s">
        <v>20</v>
      </c>
      <c r="H7" s="56" t="s">
        <v>27</v>
      </c>
      <c r="I7" s="58">
        <v>12000</v>
      </c>
      <c r="J7" s="59">
        <v>0</v>
      </c>
      <c r="K7" s="56"/>
      <c r="L7" s="60">
        <v>0</v>
      </c>
      <c r="M7" s="57">
        <v>12000</v>
      </c>
      <c r="N7" s="5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72"/>
    </row>
    <row r="8" spans="1:49" s="32" customFormat="1" x14ac:dyDescent="0.25">
      <c r="A8" s="48">
        <v>7</v>
      </c>
      <c r="B8" s="56">
        <v>40972020</v>
      </c>
      <c r="C8" s="56" t="s">
        <v>314</v>
      </c>
      <c r="D8" s="56"/>
      <c r="E8" s="57" t="s">
        <v>175</v>
      </c>
      <c r="F8" s="57" t="s">
        <v>201</v>
      </c>
      <c r="G8" s="57" t="s">
        <v>20</v>
      </c>
      <c r="H8" s="56" t="s">
        <v>27</v>
      </c>
      <c r="I8" s="58">
        <v>12000</v>
      </c>
      <c r="J8" s="59">
        <v>5000</v>
      </c>
      <c r="K8" s="56"/>
      <c r="L8" s="60">
        <v>0.41666666666666669</v>
      </c>
      <c r="M8" s="57">
        <v>17000</v>
      </c>
      <c r="N8" s="5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72"/>
    </row>
    <row r="9" spans="1:49" s="32" customFormat="1" x14ac:dyDescent="0.25">
      <c r="A9" s="48">
        <v>8</v>
      </c>
      <c r="B9" s="56">
        <v>20812016</v>
      </c>
      <c r="C9" s="56" t="s">
        <v>125</v>
      </c>
      <c r="D9" s="56"/>
      <c r="E9" s="57" t="s">
        <v>175</v>
      </c>
      <c r="F9" s="57" t="s">
        <v>201</v>
      </c>
      <c r="G9" s="57" t="s">
        <v>37</v>
      </c>
      <c r="H9" s="56" t="s">
        <v>5</v>
      </c>
      <c r="I9" s="58">
        <v>45000</v>
      </c>
      <c r="J9" s="59">
        <v>8000</v>
      </c>
      <c r="K9" s="56"/>
      <c r="L9" s="60">
        <v>0.17777777777777778</v>
      </c>
      <c r="M9" s="57">
        <v>53000</v>
      </c>
      <c r="N9" s="5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72"/>
    </row>
    <row r="10" spans="1:49" s="32" customFormat="1" x14ac:dyDescent="0.25">
      <c r="A10" s="48">
        <v>9</v>
      </c>
      <c r="B10" s="56">
        <v>41122020</v>
      </c>
      <c r="C10" s="56" t="s">
        <v>321</v>
      </c>
      <c r="D10" s="56"/>
      <c r="E10" s="57" t="s">
        <v>175</v>
      </c>
      <c r="F10" s="57" t="s">
        <v>201</v>
      </c>
      <c r="G10" s="57" t="s">
        <v>37</v>
      </c>
      <c r="H10" s="56" t="s">
        <v>3</v>
      </c>
      <c r="I10" s="58">
        <v>28000</v>
      </c>
      <c r="J10" s="59">
        <v>0</v>
      </c>
      <c r="K10" s="56"/>
      <c r="L10" s="60">
        <v>0</v>
      </c>
      <c r="M10" s="57">
        <v>28000</v>
      </c>
      <c r="N10" s="5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72"/>
    </row>
    <row r="11" spans="1:49" s="32" customFormat="1" x14ac:dyDescent="0.25">
      <c r="A11" s="48">
        <v>10</v>
      </c>
      <c r="B11" s="56">
        <v>41132020</v>
      </c>
      <c r="C11" s="56" t="s">
        <v>322</v>
      </c>
      <c r="D11" s="56"/>
      <c r="E11" s="57" t="s">
        <v>175</v>
      </c>
      <c r="F11" s="57" t="s">
        <v>201</v>
      </c>
      <c r="G11" s="57" t="s">
        <v>37</v>
      </c>
      <c r="H11" s="56" t="s">
        <v>3</v>
      </c>
      <c r="I11" s="58">
        <v>28000</v>
      </c>
      <c r="J11" s="59">
        <v>0</v>
      </c>
      <c r="K11" s="56"/>
      <c r="L11" s="60">
        <v>0</v>
      </c>
      <c r="M11" s="57">
        <v>28000</v>
      </c>
      <c r="N11" s="5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72"/>
    </row>
    <row r="12" spans="1:49" s="32" customFormat="1" x14ac:dyDescent="0.25">
      <c r="A12" s="48">
        <v>11</v>
      </c>
      <c r="B12" s="56">
        <v>41162020</v>
      </c>
      <c r="C12" s="56" t="s">
        <v>323</v>
      </c>
      <c r="D12" s="56"/>
      <c r="E12" s="57" t="s">
        <v>175</v>
      </c>
      <c r="F12" s="57" t="s">
        <v>201</v>
      </c>
      <c r="G12" s="57" t="s">
        <v>37</v>
      </c>
      <c r="H12" s="56" t="s">
        <v>130</v>
      </c>
      <c r="I12" s="58">
        <v>63000</v>
      </c>
      <c r="J12" s="59">
        <v>0</v>
      </c>
      <c r="K12" s="56"/>
      <c r="L12" s="60">
        <v>0</v>
      </c>
      <c r="M12" s="57">
        <v>63000</v>
      </c>
      <c r="N12" s="5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72"/>
    </row>
    <row r="13" spans="1:49" s="32" customFormat="1" x14ac:dyDescent="0.25">
      <c r="A13" s="48">
        <v>12</v>
      </c>
      <c r="B13" s="56">
        <v>10092005</v>
      </c>
      <c r="C13" s="56" t="s">
        <v>76</v>
      </c>
      <c r="D13" s="56"/>
      <c r="E13" s="57" t="s">
        <v>175</v>
      </c>
      <c r="F13" s="57" t="s">
        <v>201</v>
      </c>
      <c r="G13" s="57" t="s">
        <v>19</v>
      </c>
      <c r="H13" s="56" t="s">
        <v>4</v>
      </c>
      <c r="I13" s="58">
        <v>52000</v>
      </c>
      <c r="J13" s="59">
        <v>8000</v>
      </c>
      <c r="K13" s="56"/>
      <c r="L13" s="60">
        <v>0.15384615384615385</v>
      </c>
      <c r="M13" s="57">
        <v>60000</v>
      </c>
      <c r="N13" s="5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72"/>
    </row>
    <row r="14" spans="1:49" s="32" customFormat="1" x14ac:dyDescent="0.25">
      <c r="A14" s="48">
        <v>13</v>
      </c>
      <c r="B14" s="56">
        <v>20152010</v>
      </c>
      <c r="C14" s="56" t="s">
        <v>83</v>
      </c>
      <c r="D14" s="56"/>
      <c r="E14" s="57" t="s">
        <v>175</v>
      </c>
      <c r="F14" s="57" t="s">
        <v>201</v>
      </c>
      <c r="G14" s="57" t="s">
        <v>19</v>
      </c>
      <c r="H14" s="56" t="s">
        <v>3</v>
      </c>
      <c r="I14" s="58">
        <v>29000</v>
      </c>
      <c r="J14" s="59">
        <v>8000</v>
      </c>
      <c r="K14" s="56"/>
      <c r="L14" s="60">
        <v>0.27586206896551724</v>
      </c>
      <c r="M14" s="57">
        <v>37000</v>
      </c>
      <c r="N14" s="5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72"/>
    </row>
    <row r="15" spans="1:49" s="32" customFormat="1" x14ac:dyDescent="0.25">
      <c r="A15" s="48">
        <v>14</v>
      </c>
      <c r="B15" s="56">
        <v>21182018</v>
      </c>
      <c r="C15" s="56" t="s">
        <v>88</v>
      </c>
      <c r="D15" s="56"/>
      <c r="E15" s="57" t="s">
        <v>175</v>
      </c>
      <c r="F15" s="57" t="s">
        <v>201</v>
      </c>
      <c r="G15" s="57" t="s">
        <v>19</v>
      </c>
      <c r="H15" s="56" t="s">
        <v>3</v>
      </c>
      <c r="I15" s="58">
        <v>21000</v>
      </c>
      <c r="J15" s="59">
        <v>5000</v>
      </c>
      <c r="K15" s="56"/>
      <c r="L15" s="60">
        <v>0.23809523809523808</v>
      </c>
      <c r="M15" s="57">
        <v>26000</v>
      </c>
      <c r="N15" s="5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72"/>
    </row>
    <row r="16" spans="1:49" s="32" customFormat="1" x14ac:dyDescent="0.25">
      <c r="A16" s="48">
        <v>15</v>
      </c>
      <c r="B16" s="56">
        <v>20102008</v>
      </c>
      <c r="C16" s="56" t="s">
        <v>90</v>
      </c>
      <c r="D16" s="56"/>
      <c r="E16" s="57" t="s">
        <v>175</v>
      </c>
      <c r="F16" s="57" t="s">
        <v>201</v>
      </c>
      <c r="G16" s="57" t="s">
        <v>19</v>
      </c>
      <c r="H16" s="56" t="s">
        <v>130</v>
      </c>
      <c r="I16" s="58">
        <v>65000</v>
      </c>
      <c r="J16" s="59">
        <v>12000</v>
      </c>
      <c r="K16" s="56"/>
      <c r="L16" s="60">
        <v>0.18461538461538463</v>
      </c>
      <c r="M16" s="57">
        <v>77000</v>
      </c>
      <c r="N16" s="5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72"/>
    </row>
    <row r="17" spans="1:49" s="32" customFormat="1" x14ac:dyDescent="0.25">
      <c r="A17" s="48">
        <v>16</v>
      </c>
      <c r="B17" s="56">
        <v>11262018</v>
      </c>
      <c r="C17" s="56" t="s">
        <v>186</v>
      </c>
      <c r="D17" s="56"/>
      <c r="E17" s="57" t="s">
        <v>175</v>
      </c>
      <c r="F17" s="57" t="s">
        <v>201</v>
      </c>
      <c r="G17" s="57" t="s">
        <v>19</v>
      </c>
      <c r="H17" s="56" t="s">
        <v>8</v>
      </c>
      <c r="I17" s="58">
        <v>20000</v>
      </c>
      <c r="J17" s="59">
        <v>6000</v>
      </c>
      <c r="K17" s="56"/>
      <c r="L17" s="60">
        <v>0.3</v>
      </c>
      <c r="M17" s="57">
        <v>26000</v>
      </c>
      <c r="N17" s="5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72"/>
    </row>
    <row r="18" spans="1:49" s="32" customFormat="1" x14ac:dyDescent="0.25">
      <c r="A18" s="48">
        <v>17</v>
      </c>
      <c r="B18" s="56">
        <v>40322018</v>
      </c>
      <c r="C18" s="56" t="s">
        <v>234</v>
      </c>
      <c r="D18" s="56"/>
      <c r="E18" s="57" t="s">
        <v>175</v>
      </c>
      <c r="F18" s="57" t="s">
        <v>201</v>
      </c>
      <c r="G18" s="57" t="s">
        <v>19</v>
      </c>
      <c r="H18" s="56" t="s">
        <v>27</v>
      </c>
      <c r="I18" s="58">
        <v>15000</v>
      </c>
      <c r="J18" s="59">
        <v>5000</v>
      </c>
      <c r="K18" s="56"/>
      <c r="L18" s="60">
        <v>0.33333333333333331</v>
      </c>
      <c r="M18" s="57">
        <v>20000</v>
      </c>
      <c r="N18" s="5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72"/>
    </row>
    <row r="19" spans="1:49" s="32" customFormat="1" x14ac:dyDescent="0.25">
      <c r="A19" s="48">
        <v>18</v>
      </c>
      <c r="B19" s="56">
        <v>21402018</v>
      </c>
      <c r="C19" s="56" t="s">
        <v>235</v>
      </c>
      <c r="D19" s="56"/>
      <c r="E19" s="57" t="s">
        <v>175</v>
      </c>
      <c r="F19" s="57" t="s">
        <v>201</v>
      </c>
      <c r="G19" s="57" t="s">
        <v>19</v>
      </c>
      <c r="H19" s="56" t="s">
        <v>8</v>
      </c>
      <c r="I19" s="58">
        <v>20000</v>
      </c>
      <c r="J19" s="59">
        <v>5000</v>
      </c>
      <c r="K19" s="56"/>
      <c r="L19" s="60">
        <v>0.25</v>
      </c>
      <c r="M19" s="57">
        <v>25000</v>
      </c>
      <c r="N19" s="5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72"/>
    </row>
    <row r="20" spans="1:49" s="32" customFormat="1" x14ac:dyDescent="0.25">
      <c r="A20" s="48">
        <v>19</v>
      </c>
      <c r="B20" s="56">
        <v>40442018</v>
      </c>
      <c r="C20" s="56" t="s">
        <v>236</v>
      </c>
      <c r="D20" s="56"/>
      <c r="E20" s="57" t="s">
        <v>175</v>
      </c>
      <c r="F20" s="57" t="s">
        <v>201</v>
      </c>
      <c r="G20" s="57" t="s">
        <v>19</v>
      </c>
      <c r="H20" s="56" t="s">
        <v>8</v>
      </c>
      <c r="I20" s="58">
        <v>20000</v>
      </c>
      <c r="J20" s="59">
        <v>5000</v>
      </c>
      <c r="K20" s="56"/>
      <c r="L20" s="60">
        <v>0.25</v>
      </c>
      <c r="M20" s="57">
        <v>25000</v>
      </c>
      <c r="N20" s="5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72"/>
    </row>
    <row r="21" spans="1:49" s="32" customFormat="1" x14ac:dyDescent="0.25">
      <c r="A21" s="48">
        <v>20</v>
      </c>
      <c r="B21" s="56">
        <v>40622019</v>
      </c>
      <c r="C21" s="56" t="s">
        <v>305</v>
      </c>
      <c r="D21" s="56"/>
      <c r="E21" s="57" t="s">
        <v>175</v>
      </c>
      <c r="F21" s="57" t="s">
        <v>201</v>
      </c>
      <c r="G21" s="57" t="s">
        <v>19</v>
      </c>
      <c r="H21" s="56" t="s">
        <v>8</v>
      </c>
      <c r="I21" s="58">
        <v>17000</v>
      </c>
      <c r="J21" s="59">
        <v>5000</v>
      </c>
      <c r="K21" s="56"/>
      <c r="L21" s="60">
        <v>0.29411764705882354</v>
      </c>
      <c r="M21" s="57">
        <v>22000</v>
      </c>
      <c r="N21" s="5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72"/>
    </row>
    <row r="22" spans="1:49" s="32" customFormat="1" x14ac:dyDescent="0.25">
      <c r="A22" s="48">
        <v>21</v>
      </c>
      <c r="B22" s="56">
        <v>40732019</v>
      </c>
      <c r="C22" s="56" t="s">
        <v>307</v>
      </c>
      <c r="D22" s="56"/>
      <c r="E22" s="57" t="s">
        <v>175</v>
      </c>
      <c r="F22" s="57" t="s">
        <v>201</v>
      </c>
      <c r="G22" s="57" t="s">
        <v>19</v>
      </c>
      <c r="H22" s="56" t="s">
        <v>8</v>
      </c>
      <c r="I22" s="58">
        <v>15000</v>
      </c>
      <c r="J22" s="59">
        <v>7000</v>
      </c>
      <c r="K22" s="56"/>
      <c r="L22" s="60">
        <v>0.46666666666666667</v>
      </c>
      <c r="M22" s="57">
        <v>22000</v>
      </c>
      <c r="N22" s="5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72"/>
    </row>
    <row r="23" spans="1:49" s="32" customFormat="1" x14ac:dyDescent="0.25">
      <c r="A23" s="48">
        <v>22</v>
      </c>
      <c r="B23" s="56">
        <v>40912020</v>
      </c>
      <c r="C23" s="56" t="s">
        <v>308</v>
      </c>
      <c r="D23" s="56"/>
      <c r="E23" s="57" t="s">
        <v>175</v>
      </c>
      <c r="F23" s="57" t="s">
        <v>201</v>
      </c>
      <c r="G23" s="57" t="s">
        <v>19</v>
      </c>
      <c r="H23" s="56" t="s">
        <v>8</v>
      </c>
      <c r="I23" s="58">
        <v>15000</v>
      </c>
      <c r="J23" s="59">
        <v>5000</v>
      </c>
      <c r="K23" s="56"/>
      <c r="L23" s="60">
        <v>0.33333333333333331</v>
      </c>
      <c r="M23" s="57">
        <v>20000</v>
      </c>
      <c r="N23" s="5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72"/>
    </row>
    <row r="24" spans="1:49" s="32" customFormat="1" x14ac:dyDescent="0.25">
      <c r="A24" s="48">
        <v>23</v>
      </c>
      <c r="B24" s="56">
        <v>40942020</v>
      </c>
      <c r="C24" s="56" t="s">
        <v>309</v>
      </c>
      <c r="D24" s="56"/>
      <c r="E24" s="57" t="s">
        <v>175</v>
      </c>
      <c r="F24" s="57" t="s">
        <v>201</v>
      </c>
      <c r="G24" s="57" t="s">
        <v>19</v>
      </c>
      <c r="H24" s="56" t="s">
        <v>8</v>
      </c>
      <c r="I24" s="58">
        <v>15000</v>
      </c>
      <c r="J24" s="59">
        <v>5000</v>
      </c>
      <c r="K24" s="56"/>
      <c r="L24" s="60">
        <v>0.33333333333333331</v>
      </c>
      <c r="M24" s="57">
        <v>20000</v>
      </c>
      <c r="N24" s="5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72"/>
    </row>
    <row r="25" spans="1:49" s="32" customFormat="1" x14ac:dyDescent="0.25">
      <c r="A25" s="48">
        <v>24</v>
      </c>
      <c r="B25" s="56">
        <v>40952020</v>
      </c>
      <c r="C25" s="56" t="s">
        <v>310</v>
      </c>
      <c r="D25" s="56"/>
      <c r="E25" s="57" t="s">
        <v>175</v>
      </c>
      <c r="F25" s="57" t="s">
        <v>201</v>
      </c>
      <c r="G25" s="57" t="s">
        <v>19</v>
      </c>
      <c r="H25" s="56" t="s">
        <v>8</v>
      </c>
      <c r="I25" s="58">
        <v>15000</v>
      </c>
      <c r="J25" s="59">
        <v>5000</v>
      </c>
      <c r="K25" s="56"/>
      <c r="L25" s="60">
        <v>0.33333333333333331</v>
      </c>
      <c r="M25" s="57">
        <v>20000</v>
      </c>
      <c r="N25" s="5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72"/>
    </row>
    <row r="26" spans="1:49" s="32" customFormat="1" x14ac:dyDescent="0.25">
      <c r="A26" s="48">
        <v>25</v>
      </c>
      <c r="B26" s="56">
        <v>41012020</v>
      </c>
      <c r="C26" s="56" t="s">
        <v>311</v>
      </c>
      <c r="D26" s="56"/>
      <c r="E26" s="57" t="s">
        <v>175</v>
      </c>
      <c r="F26" s="57" t="s">
        <v>201</v>
      </c>
      <c r="G26" s="57" t="s">
        <v>19</v>
      </c>
      <c r="H26" s="56" t="s">
        <v>27</v>
      </c>
      <c r="I26" s="58">
        <v>11000</v>
      </c>
      <c r="J26" s="59">
        <v>5000</v>
      </c>
      <c r="K26" s="56"/>
      <c r="L26" s="60">
        <v>0.45454545454545453</v>
      </c>
      <c r="M26" s="57">
        <v>16000</v>
      </c>
      <c r="N26" s="5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72"/>
    </row>
    <row r="27" spans="1:49" s="32" customFormat="1" x14ac:dyDescent="0.25">
      <c r="A27" s="48">
        <v>26</v>
      </c>
      <c r="B27" s="56">
        <v>40602019</v>
      </c>
      <c r="C27" s="56" t="s">
        <v>306</v>
      </c>
      <c r="D27" s="56"/>
      <c r="E27" s="57" t="s">
        <v>175</v>
      </c>
      <c r="F27" s="57" t="s">
        <v>201</v>
      </c>
      <c r="G27" s="57" t="s">
        <v>245</v>
      </c>
      <c r="H27" s="56" t="s">
        <v>246</v>
      </c>
      <c r="I27" s="58">
        <v>150000</v>
      </c>
      <c r="J27" s="59">
        <v>3000</v>
      </c>
      <c r="K27" s="56"/>
      <c r="L27" s="60">
        <v>0.02</v>
      </c>
      <c r="M27" s="57">
        <v>153000</v>
      </c>
      <c r="N27" s="5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72"/>
    </row>
    <row r="28" spans="1:49" s="32" customFormat="1" x14ac:dyDescent="0.25">
      <c r="A28" s="48">
        <v>27</v>
      </c>
      <c r="B28" s="56">
        <v>30250000</v>
      </c>
      <c r="C28" s="56" t="s">
        <v>312</v>
      </c>
      <c r="D28" s="56"/>
      <c r="E28" s="57" t="s">
        <v>175</v>
      </c>
      <c r="F28" s="57" t="s">
        <v>201</v>
      </c>
      <c r="G28" s="57" t="s">
        <v>258</v>
      </c>
      <c r="H28" s="56" t="s">
        <v>130</v>
      </c>
      <c r="I28" s="58">
        <v>60000</v>
      </c>
      <c r="J28" s="59">
        <v>10000</v>
      </c>
      <c r="K28" s="56"/>
      <c r="L28" s="60">
        <v>0.16666666666666666</v>
      </c>
      <c r="M28" s="57">
        <v>70000</v>
      </c>
      <c r="N28" s="5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72"/>
    </row>
    <row r="29" spans="1:49" s="32" customFormat="1" x14ac:dyDescent="0.25">
      <c r="A29" s="48">
        <v>28</v>
      </c>
      <c r="B29" s="56">
        <v>30702018</v>
      </c>
      <c r="C29" s="56" t="s">
        <v>313</v>
      </c>
      <c r="D29" s="56"/>
      <c r="E29" s="57" t="s">
        <v>175</v>
      </c>
      <c r="F29" s="57" t="s">
        <v>201</v>
      </c>
      <c r="G29" s="57" t="s">
        <v>258</v>
      </c>
      <c r="H29" s="56" t="s">
        <v>3</v>
      </c>
      <c r="I29" s="58">
        <v>30000</v>
      </c>
      <c r="J29" s="59">
        <v>5000</v>
      </c>
      <c r="K29" s="56"/>
      <c r="L29" s="60">
        <v>0.16666666666666666</v>
      </c>
      <c r="M29" s="57">
        <v>35000</v>
      </c>
      <c r="N29" s="5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72"/>
    </row>
    <row r="30" spans="1:49" s="32" customFormat="1" x14ac:dyDescent="0.25">
      <c r="A30" s="48">
        <v>29</v>
      </c>
      <c r="B30" s="56">
        <v>20332017</v>
      </c>
      <c r="C30" s="56" t="s">
        <v>45</v>
      </c>
      <c r="D30" s="56"/>
      <c r="E30" s="57" t="s">
        <v>175</v>
      </c>
      <c r="F30" s="57" t="s">
        <v>201</v>
      </c>
      <c r="G30" s="57" t="s">
        <v>36</v>
      </c>
      <c r="H30" s="56" t="s">
        <v>21</v>
      </c>
      <c r="I30" s="58">
        <v>70000</v>
      </c>
      <c r="J30" s="59">
        <v>10000</v>
      </c>
      <c r="K30" s="56"/>
      <c r="L30" s="60">
        <v>0.14285714285714285</v>
      </c>
      <c r="M30" s="57">
        <v>80000</v>
      </c>
      <c r="N30" s="56"/>
      <c r="O30" s="1"/>
      <c r="P30" s="1"/>
      <c r="Q30" s="1" t="s">
        <v>388</v>
      </c>
      <c r="R30" s="1"/>
      <c r="S30" s="1"/>
      <c r="T30" s="1"/>
      <c r="U30" s="1"/>
      <c r="V30" s="1" t="s">
        <v>7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72"/>
    </row>
    <row r="31" spans="1:49" s="32" customFormat="1" x14ac:dyDescent="0.25">
      <c r="A31" s="48">
        <v>30</v>
      </c>
      <c r="B31" s="56">
        <v>21042017</v>
      </c>
      <c r="C31" s="56" t="s">
        <v>123</v>
      </c>
      <c r="D31" s="56"/>
      <c r="E31" s="57" t="s">
        <v>175</v>
      </c>
      <c r="F31" s="57" t="s">
        <v>201</v>
      </c>
      <c r="G31" s="57" t="s">
        <v>36</v>
      </c>
      <c r="H31" s="56" t="s">
        <v>3</v>
      </c>
      <c r="I31" s="58">
        <v>40000</v>
      </c>
      <c r="J31" s="59">
        <v>8000</v>
      </c>
      <c r="K31" s="56"/>
      <c r="L31" s="60">
        <v>0.2</v>
      </c>
      <c r="M31" s="57">
        <v>48000</v>
      </c>
      <c r="N31" s="56"/>
      <c r="O31" s="1"/>
      <c r="P31" s="1"/>
      <c r="Q31" s="1" t="s">
        <v>380</v>
      </c>
      <c r="R31" s="62" t="s">
        <v>384</v>
      </c>
      <c r="S31" s="1" t="s">
        <v>381</v>
      </c>
      <c r="T31" s="1" t="s">
        <v>382</v>
      </c>
      <c r="U31" s="1" t="s">
        <v>383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72"/>
    </row>
    <row r="32" spans="1:49" s="32" customFormat="1" x14ac:dyDescent="0.25">
      <c r="A32" s="48">
        <v>31</v>
      </c>
      <c r="B32" s="56">
        <v>40312017</v>
      </c>
      <c r="C32" s="56" t="s">
        <v>124</v>
      </c>
      <c r="D32" s="56"/>
      <c r="E32" s="57" t="s">
        <v>175</v>
      </c>
      <c r="F32" s="57" t="s">
        <v>201</v>
      </c>
      <c r="G32" s="57" t="s">
        <v>36</v>
      </c>
      <c r="H32" s="56" t="s">
        <v>21</v>
      </c>
      <c r="I32" s="58">
        <v>45000</v>
      </c>
      <c r="J32" s="59">
        <v>8000</v>
      </c>
      <c r="K32" s="56"/>
      <c r="L32" s="60">
        <v>0.17777777777777778</v>
      </c>
      <c r="M32" s="57">
        <v>53000</v>
      </c>
      <c r="N32" s="56"/>
      <c r="O32" s="1"/>
      <c r="P32" s="1" t="s">
        <v>238</v>
      </c>
      <c r="Q32" s="2">
        <f ca="1">SUMIF(G2:N73,P32,J2:J73)</f>
        <v>116000</v>
      </c>
      <c r="R32" s="42">
        <f>COUNTIF(G2:G73,P32)</f>
        <v>19</v>
      </c>
      <c r="S32" s="65">
        <f ca="1">AVERAGEIF(G2:M73,P32,L2:L73)</f>
        <v>0.19840872234061088</v>
      </c>
      <c r="T32" s="2">
        <v>1620000</v>
      </c>
      <c r="U32" s="65">
        <f t="shared" ref="U32:U42" ca="1" si="0">Q32/T32</f>
        <v>7.160493827160494E-2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72"/>
    </row>
    <row r="33" spans="1:49" s="32" customFormat="1" x14ac:dyDescent="0.25">
      <c r="A33" s="48">
        <v>32</v>
      </c>
      <c r="B33" s="56">
        <v>40512018</v>
      </c>
      <c r="C33" s="56" t="s">
        <v>226</v>
      </c>
      <c r="D33" s="56"/>
      <c r="E33" s="57" t="s">
        <v>175</v>
      </c>
      <c r="F33" s="57" t="s">
        <v>201</v>
      </c>
      <c r="G33" s="57" t="s">
        <v>36</v>
      </c>
      <c r="H33" s="56" t="s">
        <v>5</v>
      </c>
      <c r="I33" s="58">
        <v>30000</v>
      </c>
      <c r="J33" s="59">
        <v>6000</v>
      </c>
      <c r="K33" s="56"/>
      <c r="L33" s="60">
        <v>0.2</v>
      </c>
      <c r="M33" s="57">
        <v>36000</v>
      </c>
      <c r="N33" s="56"/>
      <c r="O33" s="1"/>
      <c r="P33" s="1" t="s">
        <v>36</v>
      </c>
      <c r="Q33" s="2">
        <f ca="1">SUMIF(G2:N73,P33,J2:J73)</f>
        <v>62000</v>
      </c>
      <c r="R33" s="42">
        <f>COUNTIF(G2:G73,P33)</f>
        <v>9</v>
      </c>
      <c r="S33" s="65">
        <f ca="1">AVERAGEIF(G2:M73,P33,L2:L73)</f>
        <v>0.22847122013788684</v>
      </c>
      <c r="T33" s="2">
        <v>432000</v>
      </c>
      <c r="U33" s="65">
        <f t="shared" ca="1" si="0"/>
        <v>0.14351851851851852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72"/>
    </row>
    <row r="34" spans="1:49" s="32" customFormat="1" x14ac:dyDescent="0.25">
      <c r="A34" s="48">
        <v>33</v>
      </c>
      <c r="B34" s="56">
        <v>40452018</v>
      </c>
      <c r="C34" s="56" t="s">
        <v>227</v>
      </c>
      <c r="D34" s="56"/>
      <c r="E34" s="57" t="s">
        <v>175</v>
      </c>
      <c r="F34" s="57" t="s">
        <v>201</v>
      </c>
      <c r="G34" s="57" t="s">
        <v>36</v>
      </c>
      <c r="H34" s="56" t="s">
        <v>8</v>
      </c>
      <c r="I34" s="58">
        <v>22000</v>
      </c>
      <c r="J34" s="59">
        <v>5000</v>
      </c>
      <c r="K34" s="56"/>
      <c r="L34" s="60">
        <v>0.22727272727272727</v>
      </c>
      <c r="M34" s="57">
        <v>27000</v>
      </c>
      <c r="N34" s="56"/>
      <c r="O34" s="1"/>
      <c r="P34" s="1" t="s">
        <v>37</v>
      </c>
      <c r="Q34" s="2">
        <f ca="1">SUMIF(G2:N73,P34,J2:J73)</f>
        <v>8000</v>
      </c>
      <c r="R34" s="42">
        <f>COUNTIF(G2:G73,P34)</f>
        <v>4</v>
      </c>
      <c r="S34" s="65">
        <f ca="1">AVERAGEIF(G2:M73,P34,L2:L73)</f>
        <v>4.4444444444444446E-2</v>
      </c>
      <c r="T34" s="2">
        <v>214000</v>
      </c>
      <c r="U34" s="65">
        <f t="shared" ca="1" si="0"/>
        <v>3.7383177570093455E-2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72"/>
    </row>
    <row r="35" spans="1:49" s="32" customFormat="1" x14ac:dyDescent="0.25">
      <c r="A35" s="48">
        <v>34</v>
      </c>
      <c r="B35" s="56">
        <v>40462018</v>
      </c>
      <c r="C35" s="56" t="s">
        <v>228</v>
      </c>
      <c r="D35" s="56"/>
      <c r="E35" s="57" t="s">
        <v>175</v>
      </c>
      <c r="F35" s="57" t="s">
        <v>201</v>
      </c>
      <c r="G35" s="57" t="s">
        <v>36</v>
      </c>
      <c r="H35" s="56" t="s">
        <v>8</v>
      </c>
      <c r="I35" s="58">
        <v>15000</v>
      </c>
      <c r="J35" s="59">
        <v>7000</v>
      </c>
      <c r="K35" s="56"/>
      <c r="L35" s="60">
        <v>0.46666666666666667</v>
      </c>
      <c r="M35" s="57">
        <v>22000</v>
      </c>
      <c r="N35" s="56"/>
      <c r="O35" s="1"/>
      <c r="P35" s="1" t="s">
        <v>32</v>
      </c>
      <c r="Q35" s="2">
        <f ca="1">SUMIF(G2:N73,P35,J2:J73)</f>
        <v>43000</v>
      </c>
      <c r="R35" s="42">
        <f>COUNTIF(G2:G73,P35)</f>
        <v>7</v>
      </c>
      <c r="S35" s="65">
        <f ca="1">AVERAGEIF(G2:M73,P35,L2:L73)</f>
        <v>0.18954815637845093</v>
      </c>
      <c r="T35" s="2">
        <v>225000</v>
      </c>
      <c r="U35" s="65">
        <f t="shared" ca="1" si="0"/>
        <v>0.19111111111111112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72"/>
    </row>
    <row r="36" spans="1:49" s="32" customFormat="1" x14ac:dyDescent="0.25">
      <c r="A36" s="48">
        <v>35</v>
      </c>
      <c r="B36" s="56">
        <v>40712019</v>
      </c>
      <c r="C36" s="56" t="s">
        <v>229</v>
      </c>
      <c r="D36" s="56"/>
      <c r="E36" s="57" t="s">
        <v>175</v>
      </c>
      <c r="F36" s="57" t="s">
        <v>201</v>
      </c>
      <c r="G36" s="57" t="s">
        <v>36</v>
      </c>
      <c r="H36" s="56" t="s">
        <v>130</v>
      </c>
      <c r="I36" s="58">
        <v>80000</v>
      </c>
      <c r="J36" s="59">
        <v>8000</v>
      </c>
      <c r="K36" s="56"/>
      <c r="L36" s="60">
        <v>0.1</v>
      </c>
      <c r="M36" s="57">
        <v>88000</v>
      </c>
      <c r="N36" s="56"/>
      <c r="O36" s="1"/>
      <c r="P36" s="1" t="s">
        <v>19</v>
      </c>
      <c r="Q36" s="2">
        <f ca="1">SUMIF(G2:N73,P36,J2:J73)</f>
        <v>86000</v>
      </c>
      <c r="R36" s="42">
        <f>COUNTIF(G2:G73,P36)</f>
        <v>14</v>
      </c>
      <c r="S36" s="65">
        <f ca="1">AVERAGEIF(G2:M73,P36,L2:L73)</f>
        <v>0.30007728193761229</v>
      </c>
      <c r="T36" s="1">
        <v>386000</v>
      </c>
      <c r="U36" s="65">
        <f t="shared" ca="1" si="0"/>
        <v>0.22279792746113988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72"/>
    </row>
    <row r="37" spans="1:49" s="32" customFormat="1" x14ac:dyDescent="0.25">
      <c r="A37" s="48">
        <v>36</v>
      </c>
      <c r="B37" s="56">
        <v>40822019</v>
      </c>
      <c r="C37" s="56" t="s">
        <v>315</v>
      </c>
      <c r="D37" s="56"/>
      <c r="E37" s="57" t="s">
        <v>175</v>
      </c>
      <c r="F37" s="57" t="s">
        <v>201</v>
      </c>
      <c r="G37" s="57" t="s">
        <v>36</v>
      </c>
      <c r="H37" s="56" t="s">
        <v>130</v>
      </c>
      <c r="I37" s="58">
        <v>120000</v>
      </c>
      <c r="J37" s="59">
        <v>5000</v>
      </c>
      <c r="K37" s="56"/>
      <c r="L37" s="60">
        <v>4.1666666666666664E-2</v>
      </c>
      <c r="M37" s="57">
        <v>125000</v>
      </c>
      <c r="N37" s="56"/>
      <c r="O37" s="1"/>
      <c r="P37" s="1" t="s">
        <v>138</v>
      </c>
      <c r="Q37" s="2">
        <f ca="1">SUMIF(G2:N73,P37,J2:J73)</f>
        <v>26000</v>
      </c>
      <c r="R37" s="42">
        <f>COUNTIF(G2:G73,P37)</f>
        <v>3</v>
      </c>
      <c r="S37" s="65">
        <f ca="1">AVERAGEIF(G2:M73,P37,L2:L73)</f>
        <v>0.29589371980676327</v>
      </c>
      <c r="T37" s="1">
        <v>89000</v>
      </c>
      <c r="U37" s="65">
        <f t="shared" ca="1" si="0"/>
        <v>0.29213483146067415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72"/>
    </row>
    <row r="38" spans="1:49" s="32" customFormat="1" x14ac:dyDescent="0.25">
      <c r="A38" s="48">
        <v>37</v>
      </c>
      <c r="B38" s="56">
        <v>41032020</v>
      </c>
      <c r="C38" s="56" t="s">
        <v>316</v>
      </c>
      <c r="D38" s="56"/>
      <c r="E38" s="57" t="s">
        <v>175</v>
      </c>
      <c r="F38" s="57" t="s">
        <v>201</v>
      </c>
      <c r="G38" s="57" t="s">
        <v>36</v>
      </c>
      <c r="H38" s="56" t="s">
        <v>6</v>
      </c>
      <c r="I38" s="58">
        <v>10000</v>
      </c>
      <c r="J38" s="59">
        <v>5000</v>
      </c>
      <c r="K38" s="56"/>
      <c r="L38" s="60">
        <v>0.5</v>
      </c>
      <c r="M38" s="57">
        <v>15000</v>
      </c>
      <c r="N38" s="56"/>
      <c r="O38" s="1"/>
      <c r="P38" s="1" t="s">
        <v>258</v>
      </c>
      <c r="Q38" s="2">
        <f ca="1">SUMIF(G2:N73,P38,J2:J73)</f>
        <v>15000</v>
      </c>
      <c r="R38" s="42">
        <f>COUNTIF(G2:G73,P38)</f>
        <v>2</v>
      </c>
      <c r="S38" s="65">
        <f ca="1">AVERAGEIF(G2:M73,P38,L2:L73)</f>
        <v>0.16666666666666666</v>
      </c>
      <c r="T38" s="1">
        <v>90000</v>
      </c>
      <c r="U38" s="65">
        <f t="shared" ca="1" si="0"/>
        <v>0.16666666666666666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72"/>
    </row>
    <row r="39" spans="1:49" s="32" customFormat="1" x14ac:dyDescent="0.25">
      <c r="A39" s="48">
        <v>38</v>
      </c>
      <c r="B39" s="56">
        <v>10252008</v>
      </c>
      <c r="C39" s="56" t="s">
        <v>65</v>
      </c>
      <c r="D39" s="56"/>
      <c r="E39" s="57" t="s">
        <v>175</v>
      </c>
      <c r="F39" s="57" t="s">
        <v>201</v>
      </c>
      <c r="G39" s="57" t="s">
        <v>138</v>
      </c>
      <c r="H39" s="56" t="s">
        <v>21</v>
      </c>
      <c r="I39" s="58">
        <v>46000</v>
      </c>
      <c r="J39" s="59">
        <v>14000</v>
      </c>
      <c r="K39" s="56"/>
      <c r="L39" s="60">
        <v>0.30434782608695654</v>
      </c>
      <c r="M39" s="57">
        <v>60000</v>
      </c>
      <c r="N39" s="56"/>
      <c r="O39" s="1"/>
      <c r="P39" s="1" t="s">
        <v>266</v>
      </c>
      <c r="Q39" s="2">
        <f ca="1">SUMIF(G2:N73,P39,J2:J73)</f>
        <v>17000</v>
      </c>
      <c r="R39" s="42">
        <f>COUNTIF(G2:G73,P39)</f>
        <v>3</v>
      </c>
      <c r="S39" s="65">
        <f ca="1">AVERAGEIF(G2:M73,P39,L2:L73)</f>
        <v>9.8941004794663334E-2</v>
      </c>
      <c r="T39" s="1">
        <v>190000</v>
      </c>
      <c r="U39" s="65">
        <f t="shared" ca="1" si="0"/>
        <v>8.9473684210526316E-2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72"/>
    </row>
    <row r="40" spans="1:49" s="32" customFormat="1" x14ac:dyDescent="0.25">
      <c r="A40" s="48">
        <v>39</v>
      </c>
      <c r="B40" s="56">
        <v>10702016</v>
      </c>
      <c r="C40" s="56" t="s">
        <v>100</v>
      </c>
      <c r="D40" s="56"/>
      <c r="E40" s="57" t="s">
        <v>175</v>
      </c>
      <c r="F40" s="57" t="s">
        <v>201</v>
      </c>
      <c r="G40" s="57" t="s">
        <v>138</v>
      </c>
      <c r="H40" s="56" t="s">
        <v>3</v>
      </c>
      <c r="I40" s="58">
        <v>28000</v>
      </c>
      <c r="J40" s="59">
        <v>7000</v>
      </c>
      <c r="K40" s="56"/>
      <c r="L40" s="60">
        <v>0.25</v>
      </c>
      <c r="M40" s="57">
        <v>35000</v>
      </c>
      <c r="N40" s="56"/>
      <c r="O40" s="1"/>
      <c r="P40" s="1" t="s">
        <v>245</v>
      </c>
      <c r="Q40" s="2">
        <f ca="1">SUMIF(G2:N73,P40,J2:J73)</f>
        <v>3000</v>
      </c>
      <c r="R40" s="42">
        <f>COUNTIF(G2:G73,P40)</f>
        <v>1</v>
      </c>
      <c r="S40" s="65">
        <f ca="1">AVERAGEIF(G2:M73,P40,L2:L73)</f>
        <v>0.02</v>
      </c>
      <c r="T40" s="1">
        <v>192000</v>
      </c>
      <c r="U40" s="65">
        <f t="shared" ca="1" si="0"/>
        <v>1.5625E-2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72"/>
    </row>
    <row r="41" spans="1:49" s="32" customFormat="1" x14ac:dyDescent="0.25">
      <c r="A41" s="48">
        <v>40</v>
      </c>
      <c r="B41" s="56">
        <v>41072020</v>
      </c>
      <c r="C41" s="56" t="s">
        <v>317</v>
      </c>
      <c r="D41" s="56"/>
      <c r="E41" s="57" t="s">
        <v>175</v>
      </c>
      <c r="F41" s="57" t="s">
        <v>201</v>
      </c>
      <c r="G41" s="57" t="s">
        <v>138</v>
      </c>
      <c r="H41" s="56" t="s">
        <v>5</v>
      </c>
      <c r="I41" s="58">
        <v>15000</v>
      </c>
      <c r="J41" s="59">
        <v>5000</v>
      </c>
      <c r="K41" s="56"/>
      <c r="L41" s="60">
        <v>0.33333333333333331</v>
      </c>
      <c r="M41" s="57">
        <v>20000</v>
      </c>
      <c r="N41" s="56"/>
      <c r="O41" s="1"/>
      <c r="P41" s="1" t="s">
        <v>146</v>
      </c>
      <c r="Q41" s="2">
        <f ca="1">SUMIF(G2:N73,P41,J2:J73)</f>
        <v>0</v>
      </c>
      <c r="R41" s="42">
        <f>COUNTIF(G2:G73,P41)</f>
        <v>3</v>
      </c>
      <c r="S41" s="65">
        <f ca="1">AVERAGEIF(G2:M73,P41,L2:L73)</f>
        <v>0</v>
      </c>
      <c r="T41" s="1">
        <v>155000</v>
      </c>
      <c r="U41" s="65">
        <f t="shared" ca="1" si="0"/>
        <v>0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72"/>
    </row>
    <row r="42" spans="1:49" s="32" customFormat="1" x14ac:dyDescent="0.25">
      <c r="A42" s="48">
        <v>41</v>
      </c>
      <c r="B42" s="56">
        <v>10102012</v>
      </c>
      <c r="C42" s="56" t="s">
        <v>318</v>
      </c>
      <c r="D42" s="56"/>
      <c r="E42" s="57" t="s">
        <v>175</v>
      </c>
      <c r="F42" s="57" t="s">
        <v>201</v>
      </c>
      <c r="G42" s="57" t="s">
        <v>146</v>
      </c>
      <c r="H42" s="56" t="s">
        <v>261</v>
      </c>
      <c r="I42" s="58">
        <v>70000</v>
      </c>
      <c r="J42" s="59">
        <v>0</v>
      </c>
      <c r="K42" s="56"/>
      <c r="L42" s="60">
        <v>0</v>
      </c>
      <c r="M42" s="57">
        <v>70000</v>
      </c>
      <c r="N42" s="56"/>
      <c r="O42" s="1"/>
      <c r="P42" s="1" t="s">
        <v>20</v>
      </c>
      <c r="Q42" s="2">
        <f ca="1">SUMIF(G2:N73,P42,J2:J73)</f>
        <v>15000</v>
      </c>
      <c r="R42" s="62">
        <f>COUNTIF(G2:G73,P42)</f>
        <v>7</v>
      </c>
      <c r="S42" s="65">
        <f ca="1">AVERAGEIF(G2:M73,P42,L2:L73)</f>
        <v>0.16020408163265307</v>
      </c>
      <c r="T42" s="1">
        <v>71000</v>
      </c>
      <c r="U42" s="65">
        <f t="shared" ca="1" si="0"/>
        <v>0.21126760563380281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72"/>
    </row>
    <row r="43" spans="1:49" s="32" customFormat="1" x14ac:dyDescent="0.25">
      <c r="A43" s="48">
        <v>42</v>
      </c>
      <c r="B43" s="56">
        <v>41142020</v>
      </c>
      <c r="C43" s="56" t="s">
        <v>319</v>
      </c>
      <c r="D43" s="56"/>
      <c r="E43" s="57" t="s">
        <v>175</v>
      </c>
      <c r="F43" s="57" t="s">
        <v>201</v>
      </c>
      <c r="G43" s="57" t="s">
        <v>146</v>
      </c>
      <c r="H43" s="56" t="s">
        <v>262</v>
      </c>
      <c r="I43" s="58">
        <v>40000</v>
      </c>
      <c r="J43" s="59">
        <v>0</v>
      </c>
      <c r="K43" s="56"/>
      <c r="L43" s="60">
        <v>0</v>
      </c>
      <c r="M43" s="57">
        <v>40000</v>
      </c>
      <c r="N43" s="56"/>
      <c r="O43" s="1"/>
      <c r="P43" s="1"/>
      <c r="Q43" s="66">
        <f ca="1">SUM(Q32:Q42)</f>
        <v>391000</v>
      </c>
      <c r="R43" s="66">
        <f>SUM(R32:R42)</f>
        <v>72</v>
      </c>
      <c r="S43" s="64">
        <f ca="1">AVERAGE(S32:S42)</f>
        <v>0.15478684528543199</v>
      </c>
      <c r="T43" s="66">
        <f>SUM(T32:T42)</f>
        <v>3664000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72"/>
    </row>
    <row r="44" spans="1:49" s="32" customFormat="1" x14ac:dyDescent="0.25">
      <c r="A44" s="48">
        <v>43</v>
      </c>
      <c r="B44" s="56">
        <v>41152020</v>
      </c>
      <c r="C44" s="56" t="s">
        <v>320</v>
      </c>
      <c r="D44" s="56"/>
      <c r="E44" s="57" t="s">
        <v>175</v>
      </c>
      <c r="F44" s="57" t="s">
        <v>201</v>
      </c>
      <c r="G44" s="57" t="s">
        <v>146</v>
      </c>
      <c r="H44" s="56" t="s">
        <v>262</v>
      </c>
      <c r="I44" s="58">
        <v>45000</v>
      </c>
      <c r="J44" s="59">
        <v>0</v>
      </c>
      <c r="K44" s="56"/>
      <c r="L44" s="60">
        <v>0</v>
      </c>
      <c r="M44" s="57">
        <v>45000</v>
      </c>
      <c r="N44" s="56"/>
      <c r="O44" s="1"/>
      <c r="P44" s="1"/>
      <c r="Q44" s="65">
        <f ca="1">Q43/T43</f>
        <v>0.10671397379912664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72"/>
    </row>
    <row r="45" spans="1:49" s="32" customFormat="1" x14ac:dyDescent="0.25">
      <c r="A45" s="48">
        <v>44</v>
      </c>
      <c r="B45" s="56">
        <v>40362018</v>
      </c>
      <c r="C45" s="56" t="s">
        <v>298</v>
      </c>
      <c r="D45" s="56"/>
      <c r="E45" s="57" t="s">
        <v>175</v>
      </c>
      <c r="F45" s="57" t="s">
        <v>201</v>
      </c>
      <c r="G45" s="57" t="s">
        <v>238</v>
      </c>
      <c r="H45" s="56" t="s">
        <v>17</v>
      </c>
      <c r="I45" s="58">
        <v>350000</v>
      </c>
      <c r="J45" s="59">
        <v>10000</v>
      </c>
      <c r="K45" s="56"/>
      <c r="L45" s="60">
        <v>2.8571428571428571E-2</v>
      </c>
      <c r="M45" s="57">
        <v>360000</v>
      </c>
      <c r="N45" s="5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72"/>
    </row>
    <row r="46" spans="1:49" s="32" customFormat="1" x14ac:dyDescent="0.25">
      <c r="A46" s="48">
        <v>45</v>
      </c>
      <c r="B46" s="56">
        <v>40052018</v>
      </c>
      <c r="C46" s="56" t="s">
        <v>299</v>
      </c>
      <c r="D46" s="56"/>
      <c r="E46" s="57" t="s">
        <v>175</v>
      </c>
      <c r="F46" s="57" t="s">
        <v>201</v>
      </c>
      <c r="G46" s="57" t="s">
        <v>238</v>
      </c>
      <c r="H46" s="56" t="s">
        <v>264</v>
      </c>
      <c r="I46" s="58">
        <v>68000</v>
      </c>
      <c r="J46" s="59">
        <v>32000</v>
      </c>
      <c r="K46" s="56"/>
      <c r="L46" s="60">
        <v>0.47058823529411764</v>
      </c>
      <c r="M46" s="57">
        <v>100000</v>
      </c>
      <c r="N46" s="56" t="s">
        <v>379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72"/>
    </row>
    <row r="47" spans="1:49" s="32" customFormat="1" x14ac:dyDescent="0.25">
      <c r="A47" s="48">
        <v>46</v>
      </c>
      <c r="B47" s="56">
        <v>40372018</v>
      </c>
      <c r="C47" s="56" t="s">
        <v>300</v>
      </c>
      <c r="D47" s="56"/>
      <c r="E47" s="57" t="s">
        <v>175</v>
      </c>
      <c r="F47" s="57" t="s">
        <v>201</v>
      </c>
      <c r="G47" s="57" t="s">
        <v>238</v>
      </c>
      <c r="H47" s="56" t="s">
        <v>240</v>
      </c>
      <c r="I47" s="58">
        <v>30000</v>
      </c>
      <c r="J47" s="59">
        <v>5000</v>
      </c>
      <c r="K47" s="56"/>
      <c r="L47" s="60">
        <v>0.16666666666666666</v>
      </c>
      <c r="M47" s="57">
        <v>35000</v>
      </c>
      <c r="N47" s="5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72"/>
    </row>
    <row r="48" spans="1:49" s="32" customFormat="1" x14ac:dyDescent="0.25">
      <c r="A48" s="48">
        <v>47</v>
      </c>
      <c r="B48" s="56">
        <v>40432018</v>
      </c>
      <c r="C48" s="56" t="s">
        <v>301</v>
      </c>
      <c r="D48" s="56"/>
      <c r="E48" s="57" t="s">
        <v>175</v>
      </c>
      <c r="F48" s="57" t="s">
        <v>201</v>
      </c>
      <c r="G48" s="57" t="s">
        <v>238</v>
      </c>
      <c r="H48" s="56" t="s">
        <v>239</v>
      </c>
      <c r="I48" s="58">
        <v>50000</v>
      </c>
      <c r="J48" s="59">
        <v>13000</v>
      </c>
      <c r="K48" s="56"/>
      <c r="L48" s="60">
        <v>0.26</v>
      </c>
      <c r="M48" s="57">
        <v>63000</v>
      </c>
      <c r="N48" s="5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72"/>
    </row>
    <row r="49" spans="1:49" s="32" customFormat="1" x14ac:dyDescent="0.25">
      <c r="A49" s="48">
        <v>48</v>
      </c>
      <c r="B49" s="56">
        <v>40592019</v>
      </c>
      <c r="C49" s="56" t="s">
        <v>303</v>
      </c>
      <c r="D49" s="56"/>
      <c r="E49" s="57" t="s">
        <v>175</v>
      </c>
      <c r="F49" s="57" t="s">
        <v>201</v>
      </c>
      <c r="G49" s="57" t="s">
        <v>238</v>
      </c>
      <c r="H49" s="56" t="s">
        <v>240</v>
      </c>
      <c r="I49" s="58">
        <v>25000</v>
      </c>
      <c r="J49" s="59">
        <v>5000</v>
      </c>
      <c r="K49" s="56"/>
      <c r="L49" s="60">
        <v>0.2</v>
      </c>
      <c r="M49" s="57">
        <v>30000</v>
      </c>
      <c r="N49" s="5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72"/>
    </row>
    <row r="50" spans="1:49" s="32" customFormat="1" x14ac:dyDescent="0.25">
      <c r="A50" s="48">
        <v>49</v>
      </c>
      <c r="B50" s="56">
        <v>40652019</v>
      </c>
      <c r="C50" s="56" t="s">
        <v>304</v>
      </c>
      <c r="D50" s="56"/>
      <c r="E50" s="57" t="s">
        <v>175</v>
      </c>
      <c r="F50" s="57" t="s">
        <v>201</v>
      </c>
      <c r="G50" s="57" t="s">
        <v>238</v>
      </c>
      <c r="H50" s="56" t="s">
        <v>239</v>
      </c>
      <c r="I50" s="58">
        <v>55000</v>
      </c>
      <c r="J50" s="59">
        <v>7000</v>
      </c>
      <c r="K50" s="56"/>
      <c r="L50" s="60">
        <v>0.12727272727272726</v>
      </c>
      <c r="M50" s="57">
        <v>62000</v>
      </c>
      <c r="N50" s="5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72"/>
    </row>
    <row r="51" spans="1:49" s="32" customFormat="1" x14ac:dyDescent="0.25">
      <c r="A51" s="48">
        <v>50</v>
      </c>
      <c r="B51" s="56">
        <v>41052020</v>
      </c>
      <c r="C51" s="56" t="s">
        <v>324</v>
      </c>
      <c r="D51" s="56"/>
      <c r="E51" s="57" t="s">
        <v>175</v>
      </c>
      <c r="F51" s="57" t="s">
        <v>201</v>
      </c>
      <c r="G51" s="57" t="s">
        <v>238</v>
      </c>
      <c r="H51" s="56" t="s">
        <v>17</v>
      </c>
      <c r="I51" s="58">
        <v>300000</v>
      </c>
      <c r="J51" s="59">
        <v>0</v>
      </c>
      <c r="K51" s="56"/>
      <c r="L51" s="60">
        <v>0</v>
      </c>
      <c r="M51" s="57">
        <v>300000</v>
      </c>
      <c r="N51" s="5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72"/>
    </row>
    <row r="52" spans="1:49" s="32" customFormat="1" x14ac:dyDescent="0.25">
      <c r="A52" s="48">
        <v>51</v>
      </c>
      <c r="B52" s="56">
        <v>41102020</v>
      </c>
      <c r="C52" s="56" t="s">
        <v>325</v>
      </c>
      <c r="D52" s="56"/>
      <c r="E52" s="57" t="s">
        <v>175</v>
      </c>
      <c r="F52" s="57" t="s">
        <v>201</v>
      </c>
      <c r="G52" s="57" t="s">
        <v>238</v>
      </c>
      <c r="H52" s="56" t="s">
        <v>239</v>
      </c>
      <c r="I52" s="58">
        <v>70000</v>
      </c>
      <c r="J52" s="59">
        <v>0</v>
      </c>
      <c r="K52" s="56"/>
      <c r="L52" s="60">
        <v>0</v>
      </c>
      <c r="M52" s="57">
        <v>70000</v>
      </c>
      <c r="N52" s="5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72"/>
    </row>
    <row r="53" spans="1:49" x14ac:dyDescent="0.25">
      <c r="A53" s="48">
        <v>52</v>
      </c>
      <c r="B53" s="56">
        <v>40772019</v>
      </c>
      <c r="C53" s="56" t="s">
        <v>326</v>
      </c>
      <c r="D53" s="56"/>
      <c r="E53" s="57" t="s">
        <v>175</v>
      </c>
      <c r="F53" s="57" t="s">
        <v>201</v>
      </c>
      <c r="G53" s="57" t="s">
        <v>238</v>
      </c>
      <c r="H53" s="56" t="s">
        <v>240</v>
      </c>
      <c r="I53" s="58">
        <v>15000</v>
      </c>
      <c r="J53" s="59">
        <v>7000</v>
      </c>
      <c r="K53" s="56"/>
      <c r="L53" s="60">
        <v>0.46666666666666667</v>
      </c>
      <c r="M53" s="57">
        <v>22000</v>
      </c>
      <c r="N53" s="56"/>
    </row>
    <row r="54" spans="1:49" x14ac:dyDescent="0.25">
      <c r="A54" s="48">
        <v>53</v>
      </c>
      <c r="B54" s="56">
        <v>40922020</v>
      </c>
      <c r="C54" s="56" t="s">
        <v>327</v>
      </c>
      <c r="D54" s="56"/>
      <c r="E54" s="57" t="s">
        <v>175</v>
      </c>
      <c r="F54" s="57" t="s">
        <v>201</v>
      </c>
      <c r="G54" s="57" t="s">
        <v>238</v>
      </c>
      <c r="H54" s="56" t="s">
        <v>8</v>
      </c>
      <c r="I54" s="58">
        <v>15000</v>
      </c>
      <c r="J54" s="59">
        <v>7000</v>
      </c>
      <c r="K54" s="56"/>
      <c r="L54" s="60">
        <v>0.46666666666666667</v>
      </c>
      <c r="M54" s="57">
        <v>22000</v>
      </c>
      <c r="N54" s="56"/>
    </row>
    <row r="55" spans="1:49" x14ac:dyDescent="0.25">
      <c r="A55" s="48">
        <v>54</v>
      </c>
      <c r="B55" s="56">
        <v>41172020</v>
      </c>
      <c r="C55" s="56" t="s">
        <v>328</v>
      </c>
      <c r="D55" s="56"/>
      <c r="E55" s="57" t="s">
        <v>175</v>
      </c>
      <c r="F55" s="57" t="s">
        <v>201</v>
      </c>
      <c r="G55" s="57" t="s">
        <v>238</v>
      </c>
      <c r="H55" s="56" t="s">
        <v>264</v>
      </c>
      <c r="I55" s="58">
        <v>125000</v>
      </c>
      <c r="J55" s="59">
        <v>0</v>
      </c>
      <c r="K55" s="56"/>
      <c r="L55" s="60">
        <v>0</v>
      </c>
      <c r="M55" s="57">
        <v>125000</v>
      </c>
      <c r="N55" s="56"/>
    </row>
    <row r="56" spans="1:49" x14ac:dyDescent="0.25">
      <c r="A56" s="48">
        <v>55</v>
      </c>
      <c r="B56" s="56">
        <v>41192020</v>
      </c>
      <c r="C56" s="56" t="s">
        <v>329</v>
      </c>
      <c r="D56" s="56"/>
      <c r="E56" s="57" t="s">
        <v>175</v>
      </c>
      <c r="F56" s="57" t="s">
        <v>201</v>
      </c>
      <c r="G56" s="57" t="s">
        <v>238</v>
      </c>
      <c r="H56" s="56" t="s">
        <v>239</v>
      </c>
      <c r="I56" s="58">
        <v>80000</v>
      </c>
      <c r="J56" s="59">
        <v>0</v>
      </c>
      <c r="K56" s="56"/>
      <c r="L56" s="60">
        <v>0</v>
      </c>
      <c r="M56" s="57">
        <v>80000</v>
      </c>
      <c r="N56" s="56"/>
    </row>
    <row r="57" spans="1:49" x14ac:dyDescent="0.25">
      <c r="A57" s="48">
        <v>56</v>
      </c>
      <c r="B57" s="56">
        <v>40782019</v>
      </c>
      <c r="C57" s="56" t="s">
        <v>330</v>
      </c>
      <c r="D57" s="56"/>
      <c r="E57" s="57" t="s">
        <v>175</v>
      </c>
      <c r="F57" s="57" t="s">
        <v>201</v>
      </c>
      <c r="G57" s="57" t="s">
        <v>238</v>
      </c>
      <c r="H57" s="56" t="s">
        <v>240</v>
      </c>
      <c r="I57" s="58">
        <v>15000</v>
      </c>
      <c r="J57" s="59">
        <v>10000</v>
      </c>
      <c r="K57" s="56"/>
      <c r="L57" s="60">
        <v>0.66666666666666663</v>
      </c>
      <c r="M57" s="57">
        <v>25000</v>
      </c>
      <c r="N57" s="56"/>
    </row>
    <row r="58" spans="1:49" x14ac:dyDescent="0.25">
      <c r="A58" s="48">
        <v>57</v>
      </c>
      <c r="B58" s="56">
        <v>41022020</v>
      </c>
      <c r="C58" s="56" t="s">
        <v>331</v>
      </c>
      <c r="D58" s="56"/>
      <c r="E58" s="57" t="s">
        <v>175</v>
      </c>
      <c r="F58" s="57" t="s">
        <v>201</v>
      </c>
      <c r="G58" s="57" t="s">
        <v>238</v>
      </c>
      <c r="H58" s="56" t="s">
        <v>240</v>
      </c>
      <c r="I58" s="58">
        <v>40000</v>
      </c>
      <c r="J58" s="59">
        <v>5000</v>
      </c>
      <c r="K58" s="56"/>
      <c r="L58" s="60">
        <v>0.125</v>
      </c>
      <c r="M58" s="57">
        <v>45000</v>
      </c>
      <c r="N58" s="56"/>
    </row>
    <row r="59" spans="1:49" x14ac:dyDescent="0.25">
      <c r="A59" s="48">
        <v>58</v>
      </c>
      <c r="B59" s="56">
        <v>40672019</v>
      </c>
      <c r="C59" s="56" t="s">
        <v>332</v>
      </c>
      <c r="D59" s="56"/>
      <c r="E59" s="57" t="s">
        <v>175</v>
      </c>
      <c r="F59" s="57" t="s">
        <v>201</v>
      </c>
      <c r="G59" s="57" t="s">
        <v>238</v>
      </c>
      <c r="H59" s="56" t="s">
        <v>17</v>
      </c>
      <c r="I59" s="58">
        <v>225000</v>
      </c>
      <c r="J59" s="59">
        <v>0</v>
      </c>
      <c r="K59" s="56"/>
      <c r="L59" s="60">
        <v>0</v>
      </c>
      <c r="M59" s="57">
        <v>225000</v>
      </c>
      <c r="N59" s="56"/>
    </row>
    <row r="60" spans="1:49" x14ac:dyDescent="0.25">
      <c r="A60" s="48">
        <v>59</v>
      </c>
      <c r="B60" s="56">
        <v>40892019</v>
      </c>
      <c r="C60" s="56" t="s">
        <v>333</v>
      </c>
      <c r="D60" s="56"/>
      <c r="E60" s="57" t="s">
        <v>175</v>
      </c>
      <c r="F60" s="57" t="s">
        <v>201</v>
      </c>
      <c r="G60" s="57" t="s">
        <v>238</v>
      </c>
      <c r="H60" s="56" t="s">
        <v>264</v>
      </c>
      <c r="I60" s="58">
        <v>90000</v>
      </c>
      <c r="J60" s="59">
        <v>0</v>
      </c>
      <c r="K60" s="56"/>
      <c r="L60" s="60">
        <v>0</v>
      </c>
      <c r="M60" s="57">
        <v>90000</v>
      </c>
      <c r="N60" s="56"/>
    </row>
    <row r="61" spans="1:49" x14ac:dyDescent="0.25">
      <c r="A61" s="48">
        <v>60</v>
      </c>
      <c r="B61" s="56">
        <v>40872019</v>
      </c>
      <c r="C61" s="56" t="s">
        <v>334</v>
      </c>
      <c r="D61" s="56"/>
      <c r="E61" s="57" t="s">
        <v>175</v>
      </c>
      <c r="F61" s="57" t="s">
        <v>201</v>
      </c>
      <c r="G61" s="57" t="s">
        <v>238</v>
      </c>
      <c r="H61" s="56" t="s">
        <v>240</v>
      </c>
      <c r="I61" s="58">
        <v>40000</v>
      </c>
      <c r="J61" s="59">
        <v>5000</v>
      </c>
      <c r="K61" s="56"/>
      <c r="L61" s="60">
        <v>0.125</v>
      </c>
      <c r="M61" s="57">
        <v>45000</v>
      </c>
      <c r="N61" s="56"/>
    </row>
    <row r="62" spans="1:49" x14ac:dyDescent="0.25">
      <c r="A62" s="48">
        <v>61</v>
      </c>
      <c r="B62" s="56">
        <v>40932020</v>
      </c>
      <c r="C62" s="56" t="s">
        <v>335</v>
      </c>
      <c r="D62" s="56"/>
      <c r="E62" s="57" t="s">
        <v>175</v>
      </c>
      <c r="F62" s="57" t="s">
        <v>201</v>
      </c>
      <c r="G62" s="57" t="s">
        <v>238</v>
      </c>
      <c r="H62" s="56" t="s">
        <v>8</v>
      </c>
      <c r="I62" s="58">
        <v>15000</v>
      </c>
      <c r="J62" s="59">
        <v>10000</v>
      </c>
      <c r="K62" s="56"/>
      <c r="L62" s="60">
        <v>0.66666666666666663</v>
      </c>
      <c r="M62" s="57">
        <v>25000</v>
      </c>
      <c r="N62" s="56"/>
    </row>
    <row r="63" spans="1:49" x14ac:dyDescent="0.25">
      <c r="A63" s="48">
        <v>62</v>
      </c>
      <c r="B63" s="56">
        <v>40982020</v>
      </c>
      <c r="C63" s="56" t="s">
        <v>336</v>
      </c>
      <c r="D63" s="56"/>
      <c r="E63" s="57" t="s">
        <v>175</v>
      </c>
      <c r="F63" s="57" t="s">
        <v>201</v>
      </c>
      <c r="G63" s="57" t="s">
        <v>238</v>
      </c>
      <c r="H63" s="56" t="s">
        <v>8</v>
      </c>
      <c r="I63" s="58">
        <v>25000</v>
      </c>
      <c r="J63" s="59">
        <v>0</v>
      </c>
      <c r="K63" s="56"/>
      <c r="L63" s="60">
        <v>0</v>
      </c>
      <c r="M63" s="57">
        <v>25000</v>
      </c>
      <c r="N63" s="56"/>
    </row>
    <row r="64" spans="1:49" x14ac:dyDescent="0.25">
      <c r="A64" s="48">
        <v>63</v>
      </c>
      <c r="B64" s="56">
        <v>40842019</v>
      </c>
      <c r="C64" s="56" t="s">
        <v>337</v>
      </c>
      <c r="D64" s="56"/>
      <c r="E64" s="57" t="s">
        <v>175</v>
      </c>
      <c r="F64" s="57" t="s">
        <v>201</v>
      </c>
      <c r="G64" s="57" t="s">
        <v>266</v>
      </c>
      <c r="H64" s="56" t="s">
        <v>135</v>
      </c>
      <c r="I64" s="58">
        <v>41000</v>
      </c>
      <c r="J64" s="59">
        <v>5000</v>
      </c>
      <c r="K64" s="56"/>
      <c r="L64" s="60">
        <v>0.12195121951219512</v>
      </c>
      <c r="M64" s="57">
        <v>46000</v>
      </c>
      <c r="N64" s="56"/>
    </row>
    <row r="65" spans="1:14" x14ac:dyDescent="0.25">
      <c r="A65" s="48">
        <v>64</v>
      </c>
      <c r="B65" s="56">
        <v>40852019</v>
      </c>
      <c r="C65" s="56" t="s">
        <v>338</v>
      </c>
      <c r="D65" s="56"/>
      <c r="E65" s="57" t="s">
        <v>175</v>
      </c>
      <c r="F65" s="57" t="s">
        <v>201</v>
      </c>
      <c r="G65" s="57" t="s">
        <v>266</v>
      </c>
      <c r="H65" s="56" t="s">
        <v>5</v>
      </c>
      <c r="I65" s="58">
        <v>39000</v>
      </c>
      <c r="J65" s="59">
        <v>5000</v>
      </c>
      <c r="K65" s="56"/>
      <c r="L65" s="60">
        <v>0.12820512820512819</v>
      </c>
      <c r="M65" s="57">
        <v>44000</v>
      </c>
      <c r="N65" s="56"/>
    </row>
    <row r="66" spans="1:14" x14ac:dyDescent="0.25">
      <c r="A66" s="48">
        <v>65</v>
      </c>
      <c r="B66" s="56">
        <v>40902019</v>
      </c>
      <c r="C66" s="56" t="s">
        <v>339</v>
      </c>
      <c r="D66" s="56"/>
      <c r="E66" s="57" t="s">
        <v>175</v>
      </c>
      <c r="F66" s="57" t="s">
        <v>201</v>
      </c>
      <c r="G66" s="57" t="s">
        <v>266</v>
      </c>
      <c r="H66" s="56" t="s">
        <v>267</v>
      </c>
      <c r="I66" s="58">
        <v>150000</v>
      </c>
      <c r="J66" s="59">
        <v>7000</v>
      </c>
      <c r="K66" s="56"/>
      <c r="L66" s="60">
        <v>4.6666666666666669E-2</v>
      </c>
      <c r="M66" s="57">
        <v>157000</v>
      </c>
      <c r="N66" s="56"/>
    </row>
    <row r="67" spans="1:14" x14ac:dyDescent="0.25">
      <c r="A67" s="48">
        <v>66</v>
      </c>
      <c r="B67" s="56">
        <v>11272018</v>
      </c>
      <c r="C67" s="56" t="s">
        <v>191</v>
      </c>
      <c r="D67" s="56"/>
      <c r="E67" s="57" t="s">
        <v>175</v>
      </c>
      <c r="F67" s="57" t="s">
        <v>201</v>
      </c>
      <c r="G67" s="57" t="s">
        <v>32</v>
      </c>
      <c r="H67" s="56" t="s">
        <v>3</v>
      </c>
      <c r="I67" s="58">
        <v>20000</v>
      </c>
      <c r="J67" s="59">
        <v>5000</v>
      </c>
      <c r="K67" s="56"/>
      <c r="L67" s="60">
        <v>0.25</v>
      </c>
      <c r="M67" s="57">
        <v>25000</v>
      </c>
      <c r="N67" s="56"/>
    </row>
    <row r="68" spans="1:14" x14ac:dyDescent="0.25">
      <c r="A68" s="48">
        <v>67</v>
      </c>
      <c r="B68" s="56">
        <v>10352009</v>
      </c>
      <c r="C68" s="56" t="s">
        <v>120</v>
      </c>
      <c r="D68" s="56"/>
      <c r="E68" s="57" t="s">
        <v>175</v>
      </c>
      <c r="F68" s="57" t="s">
        <v>201</v>
      </c>
      <c r="G68" s="57" t="s">
        <v>32</v>
      </c>
      <c r="H68" s="56" t="s">
        <v>33</v>
      </c>
      <c r="I68" s="58">
        <v>55000</v>
      </c>
      <c r="J68" s="59">
        <v>15000</v>
      </c>
      <c r="K68" s="56"/>
      <c r="L68" s="60">
        <v>0.27272727272727271</v>
      </c>
      <c r="M68" s="57">
        <v>70000</v>
      </c>
      <c r="N68" s="56"/>
    </row>
    <row r="69" spans="1:14" x14ac:dyDescent="0.25">
      <c r="A69" s="48">
        <v>68</v>
      </c>
      <c r="B69" s="56">
        <v>10952017</v>
      </c>
      <c r="C69" s="56" t="s">
        <v>121</v>
      </c>
      <c r="D69" s="56"/>
      <c r="E69" s="57" t="s">
        <v>175</v>
      </c>
      <c r="F69" s="57" t="s">
        <v>201</v>
      </c>
      <c r="G69" s="57" t="s">
        <v>32</v>
      </c>
      <c r="H69" s="56" t="s">
        <v>3</v>
      </c>
      <c r="I69" s="58">
        <v>23000</v>
      </c>
      <c r="J69" s="59">
        <v>4000</v>
      </c>
      <c r="K69" s="56"/>
      <c r="L69" s="60">
        <v>0.17391304347826086</v>
      </c>
      <c r="M69" s="57">
        <v>27000</v>
      </c>
      <c r="N69" s="56"/>
    </row>
    <row r="70" spans="1:14" x14ac:dyDescent="0.25">
      <c r="A70" s="48">
        <v>69</v>
      </c>
      <c r="B70" s="56">
        <v>20692016</v>
      </c>
      <c r="C70" s="56" t="s">
        <v>122</v>
      </c>
      <c r="D70" s="56"/>
      <c r="E70" s="57" t="s">
        <v>175</v>
      </c>
      <c r="F70" s="57" t="s">
        <v>201</v>
      </c>
      <c r="G70" s="57" t="s">
        <v>32</v>
      </c>
      <c r="H70" s="56" t="s">
        <v>4</v>
      </c>
      <c r="I70" s="58">
        <v>31000</v>
      </c>
      <c r="J70" s="59">
        <v>5000</v>
      </c>
      <c r="K70" s="56"/>
      <c r="L70" s="60">
        <v>0.16129032258064516</v>
      </c>
      <c r="M70" s="57">
        <v>36000</v>
      </c>
      <c r="N70" s="56"/>
    </row>
    <row r="71" spans="1:14" x14ac:dyDescent="0.25">
      <c r="A71" s="48">
        <v>70</v>
      </c>
      <c r="B71" s="56">
        <v>40422018</v>
      </c>
      <c r="C71" s="56" t="s">
        <v>231</v>
      </c>
      <c r="D71" s="56"/>
      <c r="E71" s="57" t="s">
        <v>175</v>
      </c>
      <c r="F71" s="57" t="s">
        <v>201</v>
      </c>
      <c r="G71" s="57" t="s">
        <v>32</v>
      </c>
      <c r="H71" s="56" t="s">
        <v>3</v>
      </c>
      <c r="I71" s="58">
        <v>23000</v>
      </c>
      <c r="J71" s="59">
        <v>5000</v>
      </c>
      <c r="K71" s="56"/>
      <c r="L71" s="60">
        <v>0.21739130434782608</v>
      </c>
      <c r="M71" s="57">
        <v>28000</v>
      </c>
      <c r="N71" s="56"/>
    </row>
    <row r="72" spans="1:14" x14ac:dyDescent="0.25">
      <c r="A72" s="48">
        <v>71</v>
      </c>
      <c r="B72" s="56">
        <v>40522018</v>
      </c>
      <c r="C72" s="56" t="s">
        <v>232</v>
      </c>
      <c r="D72" s="56"/>
      <c r="E72" s="57" t="s">
        <v>175</v>
      </c>
      <c r="F72" s="57" t="s">
        <v>201</v>
      </c>
      <c r="G72" s="57" t="s">
        <v>32</v>
      </c>
      <c r="H72" s="56" t="s">
        <v>21</v>
      </c>
      <c r="I72" s="58">
        <v>40000</v>
      </c>
      <c r="J72" s="59">
        <v>4000</v>
      </c>
      <c r="K72" s="56"/>
      <c r="L72" s="60">
        <v>0.1</v>
      </c>
      <c r="M72" s="57">
        <v>44000</v>
      </c>
      <c r="N72" s="56"/>
    </row>
    <row r="73" spans="1:14" x14ac:dyDescent="0.25">
      <c r="A73" s="48">
        <v>72</v>
      </c>
      <c r="B73" s="56">
        <v>40502018</v>
      </c>
      <c r="C73" s="56" t="s">
        <v>233</v>
      </c>
      <c r="D73" s="56"/>
      <c r="E73" s="57" t="s">
        <v>175</v>
      </c>
      <c r="F73" s="57" t="s">
        <v>201</v>
      </c>
      <c r="G73" s="57" t="s">
        <v>32</v>
      </c>
      <c r="H73" s="56" t="s">
        <v>3</v>
      </c>
      <c r="I73" s="58">
        <v>33000</v>
      </c>
      <c r="J73" s="59">
        <v>5000</v>
      </c>
      <c r="K73" s="56"/>
      <c r="L73" s="60">
        <v>0.15151515151515152</v>
      </c>
      <c r="M73" s="57">
        <v>38000</v>
      </c>
      <c r="N73" s="56"/>
    </row>
    <row r="74" spans="1:14" x14ac:dyDescent="0.25">
      <c r="A74" s="48"/>
      <c r="B74" s="48"/>
      <c r="C74" s="48"/>
      <c r="D74" s="48"/>
      <c r="E74" s="52"/>
      <c r="F74" s="52"/>
      <c r="G74" s="52"/>
      <c r="H74" s="48"/>
      <c r="I74" s="53"/>
      <c r="J74" s="54"/>
      <c r="K74" s="48"/>
      <c r="L74" s="55"/>
      <c r="M74" s="52"/>
      <c r="N74" s="48"/>
    </row>
    <row r="75" spans="1:14" x14ac:dyDescent="0.25">
      <c r="A75" s="47"/>
      <c r="B75" s="47"/>
      <c r="C75" s="47"/>
      <c r="D75" s="47"/>
      <c r="E75" s="49"/>
      <c r="F75" s="49"/>
      <c r="G75" s="49"/>
      <c r="H75" s="49"/>
      <c r="I75" s="50">
        <f>SUM(I2:I73)</f>
        <v>3593000</v>
      </c>
      <c r="J75" s="50">
        <f>SUM(J2:J73)</f>
        <v>391000</v>
      </c>
      <c r="K75" s="49"/>
      <c r="L75" s="51">
        <f>AVERAGE(L2:L73)</f>
        <v>0.19709680005322608</v>
      </c>
      <c r="M75" s="49">
        <f>SUM(M2:M73)</f>
        <v>3984000</v>
      </c>
      <c r="N75" s="49"/>
    </row>
    <row r="76" spans="1:14" x14ac:dyDescent="0.25">
      <c r="I76" s="44">
        <f>COUNTA(C2:C73)</f>
        <v>72</v>
      </c>
      <c r="J76" s="45">
        <f>J75/COUNTA(C2:C73)</f>
        <v>5430.5555555555557</v>
      </c>
    </row>
    <row r="79" spans="1:14" x14ac:dyDescent="0.25">
      <c r="I79" s="43">
        <v>3664000</v>
      </c>
      <c r="J79" s="45">
        <v>391000</v>
      </c>
    </row>
    <row r="80" spans="1:14" x14ac:dyDescent="0.25">
      <c r="J80" s="61">
        <f>J79/I79</f>
        <v>0.10671397379912664</v>
      </c>
    </row>
  </sheetData>
  <conditionalFormatting sqref="B28:B1048576 B1:B26">
    <cfRule type="duplicateValues" dxfId="8" priority="4"/>
  </conditionalFormatting>
  <conditionalFormatting sqref="E28:E1048576 E1:E26">
    <cfRule type="containsText" dxfId="7" priority="3" operator="containsText" text="Inactive">
      <formula>NOT(ISERROR(SEARCH("Inactive",E1)))</formula>
    </cfRule>
  </conditionalFormatting>
  <conditionalFormatting sqref="B27">
    <cfRule type="duplicateValues" dxfId="6" priority="2"/>
  </conditionalFormatting>
  <conditionalFormatting sqref="E27">
    <cfRule type="containsText" dxfId="5" priority="1" operator="containsText" text="Inactive">
      <formula>NOT(ISERROR(SEARCH("Inactive",E27)))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59B0-1837-4467-ADF6-2456CD5ED63D}">
  <dimension ref="A1:AH166"/>
  <sheetViews>
    <sheetView topLeftCell="A115" zoomScale="85" zoomScaleNormal="85" workbookViewId="0">
      <pane xSplit="3" topLeftCell="I1" activePane="topRight" state="frozen"/>
      <selection pane="topRight" activeCell="Q137" sqref="Q137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90625" style="2" bestFit="1" customWidth="1"/>
    <col min="6" max="6" width="20.26953125" style="2" customWidth="1"/>
    <col min="7" max="7" width="22.54296875" style="2" bestFit="1" customWidth="1"/>
    <col min="8" max="8" width="23.36328125" style="2" customWidth="1"/>
    <col min="9" max="9" width="10.08984375" style="2" bestFit="1" customWidth="1"/>
    <col min="10" max="10" width="8.7265625" style="3"/>
    <col min="11" max="11" width="8.7265625" style="2"/>
    <col min="12" max="12" width="8.81640625" style="42" bestFit="1" customWidth="1"/>
    <col min="13" max="13" width="8.7265625" style="2"/>
    <col min="14" max="14" width="15.6328125" style="2" customWidth="1"/>
    <col min="15" max="15" width="8.7265625" style="1"/>
    <col min="16" max="16" width="22.26953125" style="1" bestFit="1" customWidth="1"/>
    <col min="17" max="17" width="12.36328125" style="1" bestFit="1" customWidth="1"/>
    <col min="18" max="18" width="4.1796875" style="1" bestFit="1" customWidth="1"/>
    <col min="19" max="19" width="8.7265625" style="1"/>
    <col min="20" max="20" width="10.90625" style="1" customWidth="1"/>
    <col min="21" max="16384" width="8.7265625" style="1"/>
  </cols>
  <sheetData>
    <row r="1" spans="1:14" s="4" customFormat="1" ht="35.5" customHeight="1" x14ac:dyDescent="0.35">
      <c r="A1" s="47" t="s">
        <v>0</v>
      </c>
      <c r="B1" s="47" t="s">
        <v>1</v>
      </c>
      <c r="C1" s="47" t="s">
        <v>2</v>
      </c>
      <c r="D1" s="47" t="s">
        <v>183</v>
      </c>
      <c r="E1" s="49" t="s">
        <v>263</v>
      </c>
      <c r="F1" s="49" t="s">
        <v>164</v>
      </c>
      <c r="G1" s="49" t="s">
        <v>165</v>
      </c>
      <c r="H1" s="49" t="s">
        <v>166</v>
      </c>
      <c r="I1" s="50" t="s">
        <v>375</v>
      </c>
      <c r="J1" s="49" t="s">
        <v>167</v>
      </c>
      <c r="K1" s="49" t="s">
        <v>181</v>
      </c>
      <c r="L1" s="50" t="s">
        <v>376</v>
      </c>
      <c r="M1" s="49" t="s">
        <v>168</v>
      </c>
      <c r="N1" s="49" t="s">
        <v>248</v>
      </c>
    </row>
    <row r="2" spans="1:14" s="4" customFormat="1" x14ac:dyDescent="0.25">
      <c r="A2" s="48"/>
      <c r="B2" s="48">
        <v>10062011</v>
      </c>
      <c r="C2" s="48" t="s">
        <v>38</v>
      </c>
      <c r="D2" s="48"/>
      <c r="E2" s="52" t="s">
        <v>175</v>
      </c>
      <c r="F2" s="52" t="s">
        <v>7</v>
      </c>
      <c r="G2" s="52" t="s">
        <v>131</v>
      </c>
      <c r="H2" s="52" t="s">
        <v>169</v>
      </c>
      <c r="I2" s="52">
        <v>102000</v>
      </c>
      <c r="J2" s="54">
        <v>48000</v>
      </c>
      <c r="K2" s="52"/>
      <c r="L2" s="55">
        <v>0.47058823529411764</v>
      </c>
      <c r="M2" s="52">
        <v>150000</v>
      </c>
      <c r="N2" s="52" t="s">
        <v>269</v>
      </c>
    </row>
    <row r="3" spans="1:14" x14ac:dyDescent="0.25">
      <c r="A3" s="48"/>
      <c r="B3" s="48">
        <v>20042012</v>
      </c>
      <c r="C3" s="48" t="s">
        <v>39</v>
      </c>
      <c r="D3" s="48"/>
      <c r="E3" s="52" t="s">
        <v>175</v>
      </c>
      <c r="F3" s="52" t="s">
        <v>7</v>
      </c>
      <c r="G3" s="52" t="s">
        <v>131</v>
      </c>
      <c r="H3" s="52" t="s">
        <v>172</v>
      </c>
      <c r="I3" s="52">
        <v>100000</v>
      </c>
      <c r="J3" s="54">
        <v>20000</v>
      </c>
      <c r="K3" s="52"/>
      <c r="L3" s="55">
        <v>0.2</v>
      </c>
      <c r="M3" s="52">
        <v>120000</v>
      </c>
      <c r="N3" s="52"/>
    </row>
    <row r="4" spans="1:14" x14ac:dyDescent="0.25">
      <c r="A4" s="48"/>
      <c r="B4" s="48">
        <v>10042008</v>
      </c>
      <c r="C4" s="48" t="s">
        <v>126</v>
      </c>
      <c r="D4" s="48"/>
      <c r="E4" s="52" t="s">
        <v>175</v>
      </c>
      <c r="F4" s="52" t="s">
        <v>7</v>
      </c>
      <c r="G4" s="52" t="s">
        <v>131</v>
      </c>
      <c r="H4" s="52" t="s">
        <v>170</v>
      </c>
      <c r="I4" s="52">
        <v>100000</v>
      </c>
      <c r="J4" s="54">
        <v>20000</v>
      </c>
      <c r="K4" s="52"/>
      <c r="L4" s="55">
        <v>0.2</v>
      </c>
      <c r="M4" s="52">
        <v>120000</v>
      </c>
      <c r="N4" s="52"/>
    </row>
    <row r="5" spans="1:14" x14ac:dyDescent="0.25">
      <c r="A5" s="48"/>
      <c r="B5" s="48">
        <v>10052012</v>
      </c>
      <c r="C5" s="48" t="s">
        <v>40</v>
      </c>
      <c r="D5" s="48"/>
      <c r="E5" s="52" t="s">
        <v>175</v>
      </c>
      <c r="F5" s="52" t="s">
        <v>7</v>
      </c>
      <c r="G5" s="52" t="s">
        <v>131</v>
      </c>
      <c r="H5" s="52" t="s">
        <v>171</v>
      </c>
      <c r="I5" s="52">
        <v>90000</v>
      </c>
      <c r="J5" s="54">
        <v>20000</v>
      </c>
      <c r="K5" s="52"/>
      <c r="L5" s="55">
        <v>0.22222222222222221</v>
      </c>
      <c r="M5" s="52">
        <v>110000</v>
      </c>
      <c r="N5" s="52"/>
    </row>
    <row r="6" spans="1:14" x14ac:dyDescent="0.25">
      <c r="A6" s="48"/>
      <c r="B6" s="48">
        <v>20532015</v>
      </c>
      <c r="C6" s="48" t="s">
        <v>127</v>
      </c>
      <c r="D6" s="48"/>
      <c r="E6" s="52" t="s">
        <v>175</v>
      </c>
      <c r="F6" s="52" t="s">
        <v>7</v>
      </c>
      <c r="G6" s="52" t="s">
        <v>131</v>
      </c>
      <c r="H6" s="52" t="s">
        <v>21</v>
      </c>
      <c r="I6" s="52">
        <v>60000</v>
      </c>
      <c r="J6" s="54">
        <v>10000</v>
      </c>
      <c r="K6" s="52"/>
      <c r="L6" s="55">
        <v>0.16666666666666666</v>
      </c>
      <c r="M6" s="52">
        <v>70000</v>
      </c>
      <c r="N6" s="52"/>
    </row>
    <row r="7" spans="1:14" x14ac:dyDescent="0.25">
      <c r="A7" s="48"/>
      <c r="B7" s="48">
        <v>21072016</v>
      </c>
      <c r="C7" s="48" t="s">
        <v>41</v>
      </c>
      <c r="D7" s="48"/>
      <c r="E7" s="52" t="s">
        <v>175</v>
      </c>
      <c r="F7" s="52" t="s">
        <v>7</v>
      </c>
      <c r="G7" s="52" t="s">
        <v>131</v>
      </c>
      <c r="H7" s="52" t="s">
        <v>21</v>
      </c>
      <c r="I7" s="52">
        <v>54000</v>
      </c>
      <c r="J7" s="54">
        <v>4000</v>
      </c>
      <c r="K7" s="52"/>
      <c r="L7" s="55">
        <v>7.407407407407407E-2</v>
      </c>
      <c r="M7" s="52">
        <v>58000</v>
      </c>
      <c r="N7" s="52"/>
    </row>
    <row r="8" spans="1:14" x14ac:dyDescent="0.25">
      <c r="A8" s="48"/>
      <c r="B8" s="48">
        <v>10132009</v>
      </c>
      <c r="C8" s="48" t="s">
        <v>42</v>
      </c>
      <c r="D8" s="48"/>
      <c r="E8" s="52" t="s">
        <v>175</v>
      </c>
      <c r="F8" s="52" t="s">
        <v>7</v>
      </c>
      <c r="G8" s="52" t="s">
        <v>131</v>
      </c>
      <c r="H8" s="52" t="s">
        <v>21</v>
      </c>
      <c r="I8" s="52">
        <v>45000</v>
      </c>
      <c r="J8" s="54">
        <v>5000</v>
      </c>
      <c r="K8" s="52"/>
      <c r="L8" s="55">
        <v>0.1111111111111111</v>
      </c>
      <c r="M8" s="52">
        <v>50000</v>
      </c>
      <c r="N8" s="52"/>
    </row>
    <row r="9" spans="1:14" x14ac:dyDescent="0.25">
      <c r="A9" s="48"/>
      <c r="B9" s="48">
        <v>10582007</v>
      </c>
      <c r="C9" s="48" t="s">
        <v>129</v>
      </c>
      <c r="D9" s="48"/>
      <c r="E9" s="52" t="s">
        <v>175</v>
      </c>
      <c r="F9" s="52" t="s">
        <v>7</v>
      </c>
      <c r="G9" s="52" t="s">
        <v>131</v>
      </c>
      <c r="H9" s="52" t="s">
        <v>9</v>
      </c>
      <c r="I9" s="52">
        <v>35000</v>
      </c>
      <c r="J9" s="54">
        <v>0</v>
      </c>
      <c r="K9" s="52"/>
      <c r="L9" s="55">
        <v>0</v>
      </c>
      <c r="M9" s="52">
        <v>35000</v>
      </c>
      <c r="N9" s="52"/>
    </row>
    <row r="10" spans="1:14" x14ac:dyDescent="0.25">
      <c r="A10" s="48"/>
      <c r="B10" s="48">
        <v>10782016</v>
      </c>
      <c r="C10" s="48" t="s">
        <v>43</v>
      </c>
      <c r="D10" s="48"/>
      <c r="E10" s="52" t="s">
        <v>175</v>
      </c>
      <c r="F10" s="52" t="s">
        <v>7</v>
      </c>
      <c r="G10" s="52" t="s">
        <v>36</v>
      </c>
      <c r="H10" s="52" t="s">
        <v>132</v>
      </c>
      <c r="I10" s="52">
        <v>180000</v>
      </c>
      <c r="J10" s="54">
        <v>5000</v>
      </c>
      <c r="K10" s="52"/>
      <c r="L10" s="55">
        <v>2.7777777777777776E-2</v>
      </c>
      <c r="M10" s="52">
        <v>185000</v>
      </c>
      <c r="N10" s="52"/>
    </row>
    <row r="11" spans="1:14" x14ac:dyDescent="0.25">
      <c r="A11" s="48"/>
      <c r="B11" s="48">
        <v>21152017</v>
      </c>
      <c r="C11" s="48" t="s">
        <v>44</v>
      </c>
      <c r="D11" s="48"/>
      <c r="E11" s="52" t="s">
        <v>175</v>
      </c>
      <c r="F11" s="52" t="s">
        <v>7</v>
      </c>
      <c r="G11" s="52" t="s">
        <v>36</v>
      </c>
      <c r="H11" s="52" t="s">
        <v>130</v>
      </c>
      <c r="I11" s="52">
        <v>105000</v>
      </c>
      <c r="J11" s="54">
        <v>5000</v>
      </c>
      <c r="K11" s="52"/>
      <c r="L11" s="55">
        <v>4.7619047619047616E-2</v>
      </c>
      <c r="M11" s="52">
        <v>110000</v>
      </c>
      <c r="N11" s="52"/>
    </row>
    <row r="12" spans="1:14" x14ac:dyDescent="0.25">
      <c r="A12" s="48"/>
      <c r="B12" s="48">
        <v>20332017</v>
      </c>
      <c r="C12" s="48" t="s">
        <v>45</v>
      </c>
      <c r="D12" s="48"/>
      <c r="E12" s="52" t="s">
        <v>175</v>
      </c>
      <c r="F12" s="52" t="s">
        <v>7</v>
      </c>
      <c r="G12" s="52" t="s">
        <v>36</v>
      </c>
      <c r="H12" s="52" t="s">
        <v>21</v>
      </c>
      <c r="I12" s="52">
        <v>67000</v>
      </c>
      <c r="J12" s="54">
        <v>3000</v>
      </c>
      <c r="K12" s="52"/>
      <c r="L12" s="55">
        <v>4.4776119402985072E-2</v>
      </c>
      <c r="M12" s="52">
        <v>70000</v>
      </c>
      <c r="N12" s="52"/>
    </row>
    <row r="13" spans="1:14" x14ac:dyDescent="0.25">
      <c r="A13" s="48"/>
      <c r="B13" s="48">
        <v>20342009</v>
      </c>
      <c r="C13" s="48" t="s">
        <v>46</v>
      </c>
      <c r="D13" s="48"/>
      <c r="E13" s="52" t="s">
        <v>175</v>
      </c>
      <c r="F13" s="52" t="s">
        <v>7</v>
      </c>
      <c r="G13" s="52" t="s">
        <v>36</v>
      </c>
      <c r="H13" s="52" t="s">
        <v>176</v>
      </c>
      <c r="I13" s="52">
        <v>47000</v>
      </c>
      <c r="J13" s="54">
        <v>3000</v>
      </c>
      <c r="K13" s="52"/>
      <c r="L13" s="55">
        <v>6.3829787234042548E-2</v>
      </c>
      <c r="M13" s="52">
        <v>50000</v>
      </c>
      <c r="N13" s="52"/>
    </row>
    <row r="14" spans="1:14" x14ac:dyDescent="0.25">
      <c r="A14" s="48"/>
      <c r="B14" s="48">
        <v>10752016</v>
      </c>
      <c r="C14" s="48" t="s">
        <v>47</v>
      </c>
      <c r="D14" s="48"/>
      <c r="E14" s="52" t="s">
        <v>175</v>
      </c>
      <c r="F14" s="52" t="s">
        <v>7</v>
      </c>
      <c r="G14" s="52" t="s">
        <v>36</v>
      </c>
      <c r="H14" s="52" t="s">
        <v>3</v>
      </c>
      <c r="I14" s="52">
        <v>35000</v>
      </c>
      <c r="J14" s="54">
        <v>5000</v>
      </c>
      <c r="K14" s="52"/>
      <c r="L14" s="55">
        <v>0.14285714285714285</v>
      </c>
      <c r="M14" s="52">
        <v>40000</v>
      </c>
      <c r="N14" s="52"/>
    </row>
    <row r="15" spans="1:14" x14ac:dyDescent="0.25">
      <c r="A15" s="48"/>
      <c r="B15" s="48">
        <v>10732016</v>
      </c>
      <c r="C15" s="48" t="s">
        <v>48</v>
      </c>
      <c r="D15" s="48"/>
      <c r="E15" s="52" t="s">
        <v>175</v>
      </c>
      <c r="F15" s="52" t="s">
        <v>7</v>
      </c>
      <c r="G15" s="52" t="s">
        <v>36</v>
      </c>
      <c r="H15" s="52" t="s">
        <v>3</v>
      </c>
      <c r="I15" s="52">
        <v>33000</v>
      </c>
      <c r="J15" s="54">
        <v>5000</v>
      </c>
      <c r="K15" s="52"/>
      <c r="L15" s="55">
        <v>0.15151515151515152</v>
      </c>
      <c r="M15" s="52">
        <v>38000</v>
      </c>
      <c r="N15" s="52"/>
    </row>
    <row r="16" spans="1:14" x14ac:dyDescent="0.25">
      <c r="A16" s="48"/>
      <c r="B16" s="48">
        <v>20302005</v>
      </c>
      <c r="C16" s="48" t="s">
        <v>49</v>
      </c>
      <c r="D16" s="48"/>
      <c r="E16" s="52" t="s">
        <v>175</v>
      </c>
      <c r="F16" s="52" t="s">
        <v>7</v>
      </c>
      <c r="G16" s="52" t="s">
        <v>36</v>
      </c>
      <c r="H16" s="52" t="s">
        <v>3</v>
      </c>
      <c r="I16" s="52">
        <v>46000</v>
      </c>
      <c r="J16" s="54">
        <v>4000</v>
      </c>
      <c r="K16" s="52"/>
      <c r="L16" s="55">
        <v>8.6956521739130432E-2</v>
      </c>
      <c r="M16" s="52">
        <v>50000</v>
      </c>
      <c r="N16" s="52"/>
    </row>
    <row r="17" spans="1:34" s="32" customFormat="1" x14ac:dyDescent="0.25">
      <c r="A17" s="48"/>
      <c r="B17" s="48">
        <v>10392012</v>
      </c>
      <c r="C17" s="48" t="s">
        <v>50</v>
      </c>
      <c r="D17" s="48"/>
      <c r="E17" s="52" t="s">
        <v>175</v>
      </c>
      <c r="F17" s="52" t="s">
        <v>7</v>
      </c>
      <c r="G17" s="52" t="s">
        <v>36</v>
      </c>
      <c r="H17" s="52" t="s">
        <v>5</v>
      </c>
      <c r="I17" s="52">
        <v>33000</v>
      </c>
      <c r="J17" s="54">
        <v>5000</v>
      </c>
      <c r="K17" s="52"/>
      <c r="L17" s="55">
        <v>0.15151515151515152</v>
      </c>
      <c r="M17" s="52">
        <v>38000</v>
      </c>
      <c r="N17" s="5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s="32" customFormat="1" x14ac:dyDescent="0.25">
      <c r="A18" s="48"/>
      <c r="B18" s="48">
        <v>10402012</v>
      </c>
      <c r="C18" s="48" t="s">
        <v>51</v>
      </c>
      <c r="D18" s="48"/>
      <c r="E18" s="52" t="s">
        <v>175</v>
      </c>
      <c r="F18" s="52" t="s">
        <v>7</v>
      </c>
      <c r="G18" s="52" t="s">
        <v>36</v>
      </c>
      <c r="H18" s="52" t="s">
        <v>5</v>
      </c>
      <c r="I18" s="52">
        <v>36000</v>
      </c>
      <c r="J18" s="54">
        <v>5000</v>
      </c>
      <c r="K18" s="52"/>
      <c r="L18" s="55">
        <v>0.1388888888888889</v>
      </c>
      <c r="M18" s="52">
        <v>41000</v>
      </c>
      <c r="N18" s="5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s="32" customFormat="1" x14ac:dyDescent="0.25">
      <c r="A19" s="48"/>
      <c r="B19" s="48">
        <v>10722016</v>
      </c>
      <c r="C19" s="48" t="s">
        <v>52</v>
      </c>
      <c r="D19" s="48"/>
      <c r="E19" s="52" t="s">
        <v>175</v>
      </c>
      <c r="F19" s="52" t="s">
        <v>7</v>
      </c>
      <c r="G19" s="52" t="s">
        <v>36</v>
      </c>
      <c r="H19" s="52" t="s">
        <v>6</v>
      </c>
      <c r="I19" s="52">
        <v>30000</v>
      </c>
      <c r="J19" s="54">
        <v>3000</v>
      </c>
      <c r="K19" s="52"/>
      <c r="L19" s="55">
        <v>0.1</v>
      </c>
      <c r="M19" s="52">
        <v>33000</v>
      </c>
      <c r="N19" s="5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32" customFormat="1" x14ac:dyDescent="0.25">
      <c r="A20" s="48"/>
      <c r="B20" s="48">
        <v>10692016</v>
      </c>
      <c r="C20" s="48" t="s">
        <v>53</v>
      </c>
      <c r="D20" s="48"/>
      <c r="E20" s="52" t="s">
        <v>175</v>
      </c>
      <c r="F20" s="52" t="s">
        <v>7</v>
      </c>
      <c r="G20" s="52" t="s">
        <v>36</v>
      </c>
      <c r="H20" s="52" t="s">
        <v>3</v>
      </c>
      <c r="I20" s="52">
        <v>26000</v>
      </c>
      <c r="J20" s="54">
        <v>6000</v>
      </c>
      <c r="K20" s="52"/>
      <c r="L20" s="55">
        <v>0.23076923076923078</v>
      </c>
      <c r="M20" s="52">
        <v>32000</v>
      </c>
      <c r="N20" s="5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s="32" customFormat="1" x14ac:dyDescent="0.25">
      <c r="A21" s="48"/>
      <c r="B21" s="48">
        <v>20932017</v>
      </c>
      <c r="C21" s="48" t="s">
        <v>54</v>
      </c>
      <c r="D21" s="48"/>
      <c r="E21" s="52" t="s">
        <v>175</v>
      </c>
      <c r="F21" s="52" t="s">
        <v>7</v>
      </c>
      <c r="G21" s="52" t="s">
        <v>36</v>
      </c>
      <c r="H21" s="52" t="s">
        <v>3</v>
      </c>
      <c r="I21" s="52">
        <v>25000</v>
      </c>
      <c r="J21" s="54">
        <v>5000</v>
      </c>
      <c r="K21" s="52"/>
      <c r="L21" s="55">
        <v>0.2</v>
      </c>
      <c r="M21" s="52">
        <v>30000</v>
      </c>
      <c r="N21" s="5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s="32" customFormat="1" x14ac:dyDescent="0.25">
      <c r="A22" s="48"/>
      <c r="B22" s="48">
        <v>21212018</v>
      </c>
      <c r="C22" s="48" t="s">
        <v>55</v>
      </c>
      <c r="D22" s="48"/>
      <c r="E22" s="52" t="s">
        <v>175</v>
      </c>
      <c r="F22" s="52" t="s">
        <v>7</v>
      </c>
      <c r="G22" s="52" t="s">
        <v>36</v>
      </c>
      <c r="H22" s="52" t="s">
        <v>5</v>
      </c>
      <c r="I22" s="52">
        <v>20000</v>
      </c>
      <c r="J22" s="54">
        <v>3000</v>
      </c>
      <c r="K22" s="52"/>
      <c r="L22" s="55">
        <v>0.15</v>
      </c>
      <c r="M22" s="52">
        <v>23000</v>
      </c>
      <c r="N22" s="5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32" customFormat="1" x14ac:dyDescent="0.25">
      <c r="A23" s="48"/>
      <c r="B23" s="48">
        <v>21322018</v>
      </c>
      <c r="C23" s="48" t="s">
        <v>179</v>
      </c>
      <c r="D23" s="48"/>
      <c r="E23" s="52" t="s">
        <v>175</v>
      </c>
      <c r="F23" s="52" t="s">
        <v>7</v>
      </c>
      <c r="G23" s="52" t="s">
        <v>36</v>
      </c>
      <c r="H23" s="52" t="s">
        <v>5</v>
      </c>
      <c r="I23" s="52">
        <v>18000</v>
      </c>
      <c r="J23" s="54">
        <v>5000</v>
      </c>
      <c r="K23" s="52"/>
      <c r="L23" s="55">
        <v>0.27777777777777779</v>
      </c>
      <c r="M23" s="52">
        <v>23000</v>
      </c>
      <c r="N23" s="5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32" customFormat="1" x14ac:dyDescent="0.25">
      <c r="A24" s="48"/>
      <c r="B24" s="48">
        <v>11012018</v>
      </c>
      <c r="C24" s="48" t="s">
        <v>56</v>
      </c>
      <c r="D24" s="48"/>
      <c r="E24" s="52" t="s">
        <v>175</v>
      </c>
      <c r="F24" s="52" t="s">
        <v>7</v>
      </c>
      <c r="G24" s="52" t="s">
        <v>37</v>
      </c>
      <c r="H24" s="52" t="s">
        <v>136</v>
      </c>
      <c r="I24" s="52">
        <v>150000</v>
      </c>
      <c r="J24" s="54">
        <v>5000</v>
      </c>
      <c r="K24" s="52"/>
      <c r="L24" s="55">
        <v>3.3333333333333333E-2</v>
      </c>
      <c r="M24" s="52">
        <v>155000</v>
      </c>
      <c r="N24" s="5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32" customFormat="1" x14ac:dyDescent="0.25">
      <c r="A25" s="48"/>
      <c r="B25" s="48">
        <v>20282010</v>
      </c>
      <c r="C25" s="48" t="s">
        <v>57</v>
      </c>
      <c r="D25" s="48"/>
      <c r="E25" s="52" t="s">
        <v>175</v>
      </c>
      <c r="F25" s="52" t="s">
        <v>7</v>
      </c>
      <c r="G25" s="52" t="s">
        <v>37</v>
      </c>
      <c r="H25" s="52" t="s">
        <v>4</v>
      </c>
      <c r="I25" s="52">
        <v>61000</v>
      </c>
      <c r="J25" s="54">
        <v>5000</v>
      </c>
      <c r="K25" s="52"/>
      <c r="L25" s="55">
        <v>8.1967213114754092E-2</v>
      </c>
      <c r="M25" s="52">
        <v>66000</v>
      </c>
      <c r="N25" s="5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32" customFormat="1" x14ac:dyDescent="0.25">
      <c r="A26" s="48"/>
      <c r="B26" s="48">
        <v>21132017</v>
      </c>
      <c r="C26" s="48" t="s">
        <v>58</v>
      </c>
      <c r="D26" s="48"/>
      <c r="E26" s="52" t="s">
        <v>175</v>
      </c>
      <c r="F26" s="52" t="s">
        <v>7</v>
      </c>
      <c r="G26" s="52" t="s">
        <v>37</v>
      </c>
      <c r="H26" s="52" t="s">
        <v>4</v>
      </c>
      <c r="I26" s="52">
        <v>45000</v>
      </c>
      <c r="J26" s="54">
        <v>5000</v>
      </c>
      <c r="K26" s="52"/>
      <c r="L26" s="55">
        <v>0.1111111111111111</v>
      </c>
      <c r="M26" s="52">
        <v>50000</v>
      </c>
      <c r="N26" s="5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s="32" customFormat="1" x14ac:dyDescent="0.25">
      <c r="A27" s="48"/>
      <c r="B27" s="48">
        <v>30572016</v>
      </c>
      <c r="C27" s="48" t="s">
        <v>59</v>
      </c>
      <c r="D27" s="48"/>
      <c r="E27" s="52" t="s">
        <v>175</v>
      </c>
      <c r="F27" s="52" t="s">
        <v>7</v>
      </c>
      <c r="G27" s="52" t="s">
        <v>37</v>
      </c>
      <c r="H27" s="52" t="s">
        <v>4</v>
      </c>
      <c r="I27" s="52">
        <v>30000</v>
      </c>
      <c r="J27" s="54">
        <v>4000</v>
      </c>
      <c r="K27" s="52"/>
      <c r="L27" s="55">
        <v>0.13333333333333333</v>
      </c>
      <c r="M27" s="52">
        <v>34000</v>
      </c>
      <c r="N27" s="5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s="32" customFormat="1" x14ac:dyDescent="0.25">
      <c r="A28" s="48"/>
      <c r="B28" s="48">
        <v>10712016</v>
      </c>
      <c r="C28" s="48" t="s">
        <v>60</v>
      </c>
      <c r="D28" s="48"/>
      <c r="E28" s="52" t="s">
        <v>175</v>
      </c>
      <c r="F28" s="52" t="s">
        <v>7</v>
      </c>
      <c r="G28" s="52" t="s">
        <v>137</v>
      </c>
      <c r="H28" s="52" t="s">
        <v>184</v>
      </c>
      <c r="I28" s="52">
        <v>42000</v>
      </c>
      <c r="J28" s="54">
        <v>5000</v>
      </c>
      <c r="K28" s="52"/>
      <c r="L28" s="55">
        <v>0.11904761904761904</v>
      </c>
      <c r="M28" s="52">
        <v>47000</v>
      </c>
      <c r="N28" s="5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s="32" customFormat="1" x14ac:dyDescent="0.25">
      <c r="A29" s="48"/>
      <c r="B29" s="48">
        <v>20352011</v>
      </c>
      <c r="C29" s="48" t="s">
        <v>61</v>
      </c>
      <c r="D29" s="48"/>
      <c r="E29" s="52" t="s">
        <v>175</v>
      </c>
      <c r="F29" s="52" t="s">
        <v>7</v>
      </c>
      <c r="G29" s="52" t="s">
        <v>137</v>
      </c>
      <c r="H29" s="52" t="s">
        <v>4</v>
      </c>
      <c r="I29" s="52">
        <v>33000</v>
      </c>
      <c r="J29" s="54">
        <v>3000</v>
      </c>
      <c r="K29" s="52"/>
      <c r="L29" s="55">
        <v>9.0909090909090912E-2</v>
      </c>
      <c r="M29" s="52">
        <v>36000</v>
      </c>
      <c r="N29" s="5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s="32" customFormat="1" x14ac:dyDescent="0.25">
      <c r="A30" s="48"/>
      <c r="B30" s="48">
        <v>21232018</v>
      </c>
      <c r="C30" s="48" t="s">
        <v>62</v>
      </c>
      <c r="D30" s="48"/>
      <c r="E30" s="52" t="s">
        <v>175</v>
      </c>
      <c r="F30" s="52" t="s">
        <v>7</v>
      </c>
      <c r="G30" s="52" t="s">
        <v>137</v>
      </c>
      <c r="H30" s="52" t="s">
        <v>3</v>
      </c>
      <c r="I30" s="52">
        <v>20000</v>
      </c>
      <c r="J30" s="54">
        <v>5000</v>
      </c>
      <c r="K30" s="52"/>
      <c r="L30" s="55">
        <v>0.25</v>
      </c>
      <c r="M30" s="52">
        <v>25000</v>
      </c>
      <c r="N30" s="5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s="32" customFormat="1" x14ac:dyDescent="0.25">
      <c r="A31" s="48"/>
      <c r="B31" s="48">
        <v>20842017</v>
      </c>
      <c r="C31" s="48" t="s">
        <v>63</v>
      </c>
      <c r="D31" s="48"/>
      <c r="E31" s="52" t="s">
        <v>175</v>
      </c>
      <c r="F31" s="52" t="s">
        <v>7</v>
      </c>
      <c r="G31" s="52" t="s">
        <v>137</v>
      </c>
      <c r="H31" s="52" t="s">
        <v>4</v>
      </c>
      <c r="I31" s="52">
        <v>25000</v>
      </c>
      <c r="J31" s="54">
        <v>5000</v>
      </c>
      <c r="K31" s="52"/>
      <c r="L31" s="55">
        <v>0.2</v>
      </c>
      <c r="M31" s="52">
        <v>30000</v>
      </c>
      <c r="N31" s="5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s="32" customFormat="1" x14ac:dyDescent="0.25">
      <c r="A32" s="48"/>
      <c r="B32" s="48">
        <v>11092018</v>
      </c>
      <c r="C32" s="48" t="s">
        <v>194</v>
      </c>
      <c r="D32" s="48"/>
      <c r="E32" s="52" t="s">
        <v>175</v>
      </c>
      <c r="F32" s="52" t="s">
        <v>7</v>
      </c>
      <c r="G32" s="52" t="s">
        <v>138</v>
      </c>
      <c r="H32" s="52" t="s">
        <v>17</v>
      </c>
      <c r="I32" s="52">
        <v>100000</v>
      </c>
      <c r="J32" s="54">
        <v>10000</v>
      </c>
      <c r="K32" s="52"/>
      <c r="L32" s="55">
        <v>0.1</v>
      </c>
      <c r="M32" s="52">
        <v>110000</v>
      </c>
      <c r="N32" s="5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s="32" customFormat="1" x14ac:dyDescent="0.25">
      <c r="A33" s="48"/>
      <c r="B33" s="48">
        <v>30211994</v>
      </c>
      <c r="C33" s="48" t="s">
        <v>64</v>
      </c>
      <c r="D33" s="48"/>
      <c r="E33" s="52" t="s">
        <v>175</v>
      </c>
      <c r="F33" s="52" t="s">
        <v>7</v>
      </c>
      <c r="G33" s="52" t="s">
        <v>138</v>
      </c>
      <c r="H33" s="52" t="s">
        <v>139</v>
      </c>
      <c r="I33" s="52">
        <v>65000</v>
      </c>
      <c r="J33" s="54">
        <v>5000</v>
      </c>
      <c r="K33" s="52"/>
      <c r="L33" s="55">
        <v>7.6923076923076927E-2</v>
      </c>
      <c r="M33" s="52">
        <v>70000</v>
      </c>
      <c r="N33" s="5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s="32" customFormat="1" x14ac:dyDescent="0.25">
      <c r="A34" s="48"/>
      <c r="B34" s="48">
        <v>21032017</v>
      </c>
      <c r="C34" s="48" t="s">
        <v>66</v>
      </c>
      <c r="D34" s="48"/>
      <c r="E34" s="52" t="s">
        <v>175</v>
      </c>
      <c r="F34" s="52" t="s">
        <v>7</v>
      </c>
      <c r="G34" s="52" t="s">
        <v>138</v>
      </c>
      <c r="H34" s="52" t="s">
        <v>8</v>
      </c>
      <c r="I34" s="52">
        <v>20000</v>
      </c>
      <c r="J34" s="54">
        <v>6000</v>
      </c>
      <c r="K34" s="52"/>
      <c r="L34" s="55">
        <v>0.3</v>
      </c>
      <c r="M34" s="52">
        <v>26000</v>
      </c>
      <c r="N34" s="5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s="32" customFormat="1" x14ac:dyDescent="0.25">
      <c r="A35" s="48"/>
      <c r="B35" s="48">
        <v>30150000</v>
      </c>
      <c r="C35" s="48" t="s">
        <v>67</v>
      </c>
      <c r="D35" s="48"/>
      <c r="E35" s="52" t="s">
        <v>175</v>
      </c>
      <c r="F35" s="52" t="s">
        <v>7</v>
      </c>
      <c r="G35" s="52" t="s">
        <v>32</v>
      </c>
      <c r="H35" s="52" t="s">
        <v>33</v>
      </c>
      <c r="I35" s="52">
        <v>84000</v>
      </c>
      <c r="J35" s="54">
        <v>6000</v>
      </c>
      <c r="K35" s="52"/>
      <c r="L35" s="55">
        <v>7.1428571428571425E-2</v>
      </c>
      <c r="M35" s="52">
        <v>90000</v>
      </c>
      <c r="N35" s="5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s="32" customFormat="1" x14ac:dyDescent="0.25">
      <c r="A36" s="48"/>
      <c r="B36" s="48">
        <v>10242004</v>
      </c>
      <c r="C36" s="48" t="s">
        <v>68</v>
      </c>
      <c r="D36" s="48"/>
      <c r="E36" s="52" t="s">
        <v>175</v>
      </c>
      <c r="F36" s="52" t="s">
        <v>7</v>
      </c>
      <c r="G36" s="52" t="s">
        <v>32</v>
      </c>
      <c r="H36" s="52" t="s">
        <v>3</v>
      </c>
      <c r="I36" s="52">
        <v>34000</v>
      </c>
      <c r="J36" s="54">
        <v>3000</v>
      </c>
      <c r="K36" s="52"/>
      <c r="L36" s="55">
        <v>8.8235294117647065E-2</v>
      </c>
      <c r="M36" s="52">
        <v>37000</v>
      </c>
      <c r="N36" s="5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s="32" customFormat="1" x14ac:dyDescent="0.25">
      <c r="A37" s="48"/>
      <c r="B37" s="48">
        <v>20922016</v>
      </c>
      <c r="C37" s="48" t="s">
        <v>69</v>
      </c>
      <c r="D37" s="48"/>
      <c r="E37" s="52" t="s">
        <v>175</v>
      </c>
      <c r="F37" s="52" t="s">
        <v>7</v>
      </c>
      <c r="G37" s="52" t="s">
        <v>32</v>
      </c>
      <c r="H37" s="52" t="s">
        <v>6</v>
      </c>
      <c r="I37" s="52">
        <v>22000</v>
      </c>
      <c r="J37" s="54">
        <v>6000</v>
      </c>
      <c r="K37" s="52"/>
      <c r="L37" s="55">
        <v>0.27272727272727271</v>
      </c>
      <c r="M37" s="52">
        <v>28000</v>
      </c>
      <c r="N37" s="5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s="32" customFormat="1" x14ac:dyDescent="0.25">
      <c r="A38" s="48"/>
      <c r="B38" s="48">
        <v>10852017</v>
      </c>
      <c r="C38" s="48" t="s">
        <v>70</v>
      </c>
      <c r="D38" s="48"/>
      <c r="E38" s="52" t="s">
        <v>175</v>
      </c>
      <c r="F38" s="52" t="s">
        <v>7</v>
      </c>
      <c r="G38" s="52" t="s">
        <v>32</v>
      </c>
      <c r="H38" s="52" t="s">
        <v>3</v>
      </c>
      <c r="I38" s="52">
        <v>28000</v>
      </c>
      <c r="J38" s="54">
        <v>3000</v>
      </c>
      <c r="K38" s="52"/>
      <c r="L38" s="55">
        <v>0.10714285714285714</v>
      </c>
      <c r="M38" s="52">
        <v>31000</v>
      </c>
      <c r="N38" s="5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s="32" customFormat="1" x14ac:dyDescent="0.25">
      <c r="A39" s="48"/>
      <c r="B39" s="48">
        <v>20242005</v>
      </c>
      <c r="C39" s="48" t="s">
        <v>71</v>
      </c>
      <c r="D39" s="48"/>
      <c r="E39" s="52" t="s">
        <v>175</v>
      </c>
      <c r="F39" s="52" t="s">
        <v>7</v>
      </c>
      <c r="G39" s="52" t="s">
        <v>32</v>
      </c>
      <c r="H39" s="52" t="s">
        <v>5</v>
      </c>
      <c r="I39" s="52">
        <v>32000</v>
      </c>
      <c r="J39" s="54">
        <v>4000</v>
      </c>
      <c r="K39" s="52"/>
      <c r="L39" s="55">
        <v>0.125</v>
      </c>
      <c r="M39" s="52">
        <v>36000</v>
      </c>
      <c r="N39" s="5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s="32" customFormat="1" x14ac:dyDescent="0.25">
      <c r="A40" s="48"/>
      <c r="B40" s="48">
        <v>10982017</v>
      </c>
      <c r="C40" s="48" t="s">
        <v>72</v>
      </c>
      <c r="D40" s="48"/>
      <c r="E40" s="52" t="s">
        <v>175</v>
      </c>
      <c r="F40" s="52" t="s">
        <v>7</v>
      </c>
      <c r="G40" s="52" t="s">
        <v>37</v>
      </c>
      <c r="H40" s="52" t="s">
        <v>141</v>
      </c>
      <c r="I40" s="52">
        <v>20000</v>
      </c>
      <c r="J40" s="54">
        <v>6000</v>
      </c>
      <c r="K40" s="52"/>
      <c r="L40" s="55">
        <v>0.3</v>
      </c>
      <c r="M40" s="52">
        <v>26000</v>
      </c>
      <c r="N40" s="5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s="32" customFormat="1" x14ac:dyDescent="0.25">
      <c r="A41" s="48"/>
      <c r="B41" s="48">
        <v>21272018</v>
      </c>
      <c r="C41" s="48" t="s">
        <v>73</v>
      </c>
      <c r="D41" s="48"/>
      <c r="E41" s="52" t="s">
        <v>175</v>
      </c>
      <c r="F41" s="52" t="s">
        <v>7</v>
      </c>
      <c r="G41" s="52" t="s">
        <v>32</v>
      </c>
      <c r="H41" s="52" t="s">
        <v>8</v>
      </c>
      <c r="I41" s="52">
        <v>15000</v>
      </c>
      <c r="J41" s="54">
        <v>5000</v>
      </c>
      <c r="K41" s="52"/>
      <c r="L41" s="55">
        <v>0.33333333333333331</v>
      </c>
      <c r="M41" s="52">
        <v>20000</v>
      </c>
      <c r="N41" s="5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s="32" customFormat="1" x14ac:dyDescent="0.25">
      <c r="A42" s="48"/>
      <c r="B42" s="48">
        <v>10762016</v>
      </c>
      <c r="C42" s="48" t="s">
        <v>74</v>
      </c>
      <c r="D42" s="48"/>
      <c r="E42" s="52" t="s">
        <v>175</v>
      </c>
      <c r="F42" s="52" t="s">
        <v>7</v>
      </c>
      <c r="G42" s="52" t="s">
        <v>146</v>
      </c>
      <c r="H42" s="52" t="s">
        <v>5</v>
      </c>
      <c r="I42" s="52">
        <v>26000</v>
      </c>
      <c r="J42" s="54">
        <v>4000</v>
      </c>
      <c r="K42" s="52"/>
      <c r="L42" s="55">
        <v>0.15384615384615385</v>
      </c>
      <c r="M42" s="52">
        <v>30000</v>
      </c>
      <c r="N42" s="5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s="32" customFormat="1" x14ac:dyDescent="0.25">
      <c r="A43" s="48"/>
      <c r="B43" s="48">
        <v>20072000</v>
      </c>
      <c r="C43" s="48" t="s">
        <v>75</v>
      </c>
      <c r="D43" s="48"/>
      <c r="E43" s="52" t="s">
        <v>175</v>
      </c>
      <c r="F43" s="52" t="s">
        <v>7</v>
      </c>
      <c r="G43" s="52" t="s">
        <v>19</v>
      </c>
      <c r="H43" s="52" t="s">
        <v>139</v>
      </c>
      <c r="I43" s="52">
        <v>55000</v>
      </c>
      <c r="J43" s="54">
        <v>4000</v>
      </c>
      <c r="K43" s="52"/>
      <c r="L43" s="55">
        <v>7.2727272727272724E-2</v>
      </c>
      <c r="M43" s="52">
        <v>59000</v>
      </c>
      <c r="N43" s="5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s="32" customFormat="1" x14ac:dyDescent="0.25">
      <c r="A44" s="48"/>
      <c r="B44" s="48">
        <v>20122009</v>
      </c>
      <c r="C44" s="48" t="s">
        <v>77</v>
      </c>
      <c r="D44" s="48"/>
      <c r="E44" s="52" t="s">
        <v>175</v>
      </c>
      <c r="F44" s="52" t="s">
        <v>7</v>
      </c>
      <c r="G44" s="52" t="s">
        <v>19</v>
      </c>
      <c r="H44" s="52" t="s">
        <v>6</v>
      </c>
      <c r="I44" s="52">
        <v>35000</v>
      </c>
      <c r="J44" s="54">
        <v>6000</v>
      </c>
      <c r="K44" s="52"/>
      <c r="L44" s="55">
        <v>0.17142857142857143</v>
      </c>
      <c r="M44" s="52">
        <v>41000</v>
      </c>
      <c r="N44" s="52" t="s">
        <v>275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s="32" customFormat="1" x14ac:dyDescent="0.25">
      <c r="A45" s="48"/>
      <c r="B45" s="48">
        <v>21142017</v>
      </c>
      <c r="C45" s="48" t="s">
        <v>78</v>
      </c>
      <c r="D45" s="48"/>
      <c r="E45" s="52" t="s">
        <v>175</v>
      </c>
      <c r="F45" s="52" t="s">
        <v>7</v>
      </c>
      <c r="G45" s="52" t="s">
        <v>19</v>
      </c>
      <c r="H45" s="52" t="s">
        <v>6</v>
      </c>
      <c r="I45" s="52">
        <v>22000</v>
      </c>
      <c r="J45" s="54">
        <v>5000</v>
      </c>
      <c r="K45" s="52"/>
      <c r="L45" s="55">
        <v>0.22727272727272727</v>
      </c>
      <c r="M45" s="52">
        <v>27000</v>
      </c>
      <c r="N45" s="5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s="32" customFormat="1" x14ac:dyDescent="0.25">
      <c r="A46" s="48"/>
      <c r="B46" s="48">
        <v>10542014</v>
      </c>
      <c r="C46" s="48" t="s">
        <v>79</v>
      </c>
      <c r="D46" s="48"/>
      <c r="E46" s="52" t="s">
        <v>175</v>
      </c>
      <c r="F46" s="52" t="s">
        <v>7</v>
      </c>
      <c r="G46" s="52" t="s">
        <v>19</v>
      </c>
      <c r="H46" s="52" t="s">
        <v>3</v>
      </c>
      <c r="I46" s="52">
        <v>25000</v>
      </c>
      <c r="J46" s="54">
        <v>4000</v>
      </c>
      <c r="K46" s="52"/>
      <c r="L46" s="55">
        <v>0.16</v>
      </c>
      <c r="M46" s="52">
        <v>29000</v>
      </c>
      <c r="N46" s="5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s="32" customFormat="1" x14ac:dyDescent="0.25">
      <c r="A47" s="48"/>
      <c r="B47" s="48">
        <v>10192011</v>
      </c>
      <c r="C47" s="48" t="s">
        <v>80</v>
      </c>
      <c r="D47" s="48"/>
      <c r="E47" s="52" t="s">
        <v>175</v>
      </c>
      <c r="F47" s="52" t="s">
        <v>7</v>
      </c>
      <c r="G47" s="52" t="s">
        <v>19</v>
      </c>
      <c r="H47" s="52" t="s">
        <v>6</v>
      </c>
      <c r="I47" s="52">
        <v>27000</v>
      </c>
      <c r="J47" s="54">
        <v>5000</v>
      </c>
      <c r="K47" s="52"/>
      <c r="L47" s="55">
        <v>0.18518518518518517</v>
      </c>
      <c r="M47" s="52">
        <v>32000</v>
      </c>
      <c r="N47" s="5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s="32" customFormat="1" x14ac:dyDescent="0.25">
      <c r="A48" s="48"/>
      <c r="B48" s="48">
        <v>20062000</v>
      </c>
      <c r="C48" s="48" t="s">
        <v>81</v>
      </c>
      <c r="D48" s="48"/>
      <c r="E48" s="52" t="s">
        <v>175</v>
      </c>
      <c r="F48" s="52" t="s">
        <v>7</v>
      </c>
      <c r="G48" s="52" t="s">
        <v>19</v>
      </c>
      <c r="H48" s="52" t="s">
        <v>139</v>
      </c>
      <c r="I48" s="52">
        <v>63000</v>
      </c>
      <c r="J48" s="54">
        <v>5000</v>
      </c>
      <c r="K48" s="52"/>
      <c r="L48" s="55">
        <v>7.9365079365079361E-2</v>
      </c>
      <c r="M48" s="52">
        <v>68000</v>
      </c>
      <c r="N48" s="5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s="32" customFormat="1" x14ac:dyDescent="0.25">
      <c r="A49" s="48"/>
      <c r="B49" s="48">
        <v>10112004</v>
      </c>
      <c r="C49" s="48" t="s">
        <v>148</v>
      </c>
      <c r="D49" s="48"/>
      <c r="E49" s="52" t="s">
        <v>175</v>
      </c>
      <c r="F49" s="52" t="s">
        <v>7</v>
      </c>
      <c r="G49" s="52" t="s">
        <v>19</v>
      </c>
      <c r="H49" s="52" t="s">
        <v>3</v>
      </c>
      <c r="I49" s="52">
        <v>35000</v>
      </c>
      <c r="J49" s="54">
        <v>5000</v>
      </c>
      <c r="K49" s="52"/>
      <c r="L49" s="55">
        <v>0.14285714285714285</v>
      </c>
      <c r="M49" s="52">
        <v>40000</v>
      </c>
      <c r="N49" s="5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s="32" customFormat="1" x14ac:dyDescent="0.25">
      <c r="A50" s="48"/>
      <c r="B50" s="48">
        <v>20172012</v>
      </c>
      <c r="C50" s="48" t="s">
        <v>82</v>
      </c>
      <c r="D50" s="48"/>
      <c r="E50" s="52" t="s">
        <v>175</v>
      </c>
      <c r="F50" s="52" t="s">
        <v>7</v>
      </c>
      <c r="G50" s="52" t="s">
        <v>195</v>
      </c>
      <c r="H50" s="52" t="s">
        <v>3</v>
      </c>
      <c r="I50" s="52">
        <v>26000</v>
      </c>
      <c r="J50" s="54">
        <v>4000</v>
      </c>
      <c r="K50" s="52"/>
      <c r="L50" s="55">
        <v>0.15384615384615385</v>
      </c>
      <c r="M50" s="52">
        <v>30000</v>
      </c>
      <c r="N50" s="5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s="32" customFormat="1" x14ac:dyDescent="0.25">
      <c r="A51" s="48"/>
      <c r="B51" s="48">
        <v>21312018</v>
      </c>
      <c r="C51" s="48" t="s">
        <v>193</v>
      </c>
      <c r="D51" s="48"/>
      <c r="E51" s="52" t="s">
        <v>175</v>
      </c>
      <c r="F51" s="52" t="s">
        <v>7</v>
      </c>
      <c r="G51" s="52" t="s">
        <v>19</v>
      </c>
      <c r="H51" s="52" t="s">
        <v>9</v>
      </c>
      <c r="I51" s="52">
        <v>14000</v>
      </c>
      <c r="J51" s="54">
        <v>6000</v>
      </c>
      <c r="K51" s="52"/>
      <c r="L51" s="55">
        <v>0.42857142857142855</v>
      </c>
      <c r="M51" s="52">
        <v>20000</v>
      </c>
      <c r="N51" s="5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s="32" customFormat="1" x14ac:dyDescent="0.25">
      <c r="A52" s="48"/>
      <c r="B52" s="48">
        <v>10202011</v>
      </c>
      <c r="C52" s="48" t="s">
        <v>149</v>
      </c>
      <c r="D52" s="48"/>
      <c r="E52" s="52" t="s">
        <v>175</v>
      </c>
      <c r="F52" s="52" t="s">
        <v>7</v>
      </c>
      <c r="G52" s="52" t="s">
        <v>19</v>
      </c>
      <c r="H52" s="52" t="s">
        <v>3</v>
      </c>
      <c r="I52" s="52">
        <v>22000</v>
      </c>
      <c r="J52" s="54">
        <v>3000</v>
      </c>
      <c r="K52" s="52"/>
      <c r="L52" s="55">
        <v>0.13636363636363635</v>
      </c>
      <c r="M52" s="52">
        <v>25000</v>
      </c>
      <c r="N52" s="5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s="32" customFormat="1" x14ac:dyDescent="0.25">
      <c r="A53" s="48"/>
      <c r="B53" s="48">
        <v>10212011</v>
      </c>
      <c r="C53" s="48" t="s">
        <v>84</v>
      </c>
      <c r="D53" s="48"/>
      <c r="E53" s="52" t="s">
        <v>175</v>
      </c>
      <c r="F53" s="52" t="s">
        <v>7</v>
      </c>
      <c r="G53" s="52" t="s">
        <v>19</v>
      </c>
      <c r="H53" s="52" t="s">
        <v>9</v>
      </c>
      <c r="I53" s="52">
        <v>22000</v>
      </c>
      <c r="J53" s="54">
        <v>5000</v>
      </c>
      <c r="K53" s="52"/>
      <c r="L53" s="55">
        <v>0.22727272727272727</v>
      </c>
      <c r="M53" s="52">
        <v>27000</v>
      </c>
      <c r="N53" s="5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s="32" customFormat="1" x14ac:dyDescent="0.25">
      <c r="A54" s="48"/>
      <c r="B54" s="48">
        <v>10222012</v>
      </c>
      <c r="C54" s="48" t="s">
        <v>297</v>
      </c>
      <c r="D54" s="48"/>
      <c r="E54" s="52" t="s">
        <v>175</v>
      </c>
      <c r="F54" s="52" t="s">
        <v>7</v>
      </c>
      <c r="G54" s="52" t="s">
        <v>188</v>
      </c>
      <c r="H54" s="52" t="s">
        <v>9</v>
      </c>
      <c r="I54" s="52">
        <v>22000</v>
      </c>
      <c r="J54" s="54">
        <v>8000</v>
      </c>
      <c r="K54" s="52"/>
      <c r="L54" s="55">
        <v>0.36363636363636365</v>
      </c>
      <c r="M54" s="52">
        <v>30000</v>
      </c>
      <c r="N54" s="5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s="32" customFormat="1" x14ac:dyDescent="0.25">
      <c r="A55" s="48"/>
      <c r="B55" s="48">
        <v>10522014</v>
      </c>
      <c r="C55" s="48" t="s">
        <v>85</v>
      </c>
      <c r="D55" s="48"/>
      <c r="E55" s="52" t="s">
        <v>175</v>
      </c>
      <c r="F55" s="52" t="s">
        <v>7</v>
      </c>
      <c r="G55" s="52" t="s">
        <v>19</v>
      </c>
      <c r="H55" s="52" t="s">
        <v>9</v>
      </c>
      <c r="I55" s="52">
        <v>20000</v>
      </c>
      <c r="J55" s="54">
        <v>3000</v>
      </c>
      <c r="K55" s="52"/>
      <c r="L55" s="55">
        <v>0.15</v>
      </c>
      <c r="M55" s="52">
        <v>23000</v>
      </c>
      <c r="N55" s="5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s="32" customFormat="1" x14ac:dyDescent="0.25">
      <c r="A56" s="48"/>
      <c r="B56" s="48">
        <v>20892017</v>
      </c>
      <c r="C56" s="48" t="s">
        <v>86</v>
      </c>
      <c r="D56" s="48"/>
      <c r="E56" s="52" t="s">
        <v>175</v>
      </c>
      <c r="F56" s="52" t="s">
        <v>7</v>
      </c>
      <c r="G56" s="52" t="s">
        <v>19</v>
      </c>
      <c r="H56" s="52" t="s">
        <v>35</v>
      </c>
      <c r="I56" s="52">
        <v>15000</v>
      </c>
      <c r="J56" s="54">
        <v>5000</v>
      </c>
      <c r="K56" s="52"/>
      <c r="L56" s="55">
        <v>0.33333333333333331</v>
      </c>
      <c r="M56" s="52">
        <v>20000</v>
      </c>
      <c r="N56" s="5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s="32" customFormat="1" x14ac:dyDescent="0.25">
      <c r="A57" s="48"/>
      <c r="B57" s="48">
        <v>10602007</v>
      </c>
      <c r="C57" s="48" t="s">
        <v>87</v>
      </c>
      <c r="D57" s="48"/>
      <c r="E57" s="52" t="s">
        <v>175</v>
      </c>
      <c r="F57" s="52" t="s">
        <v>7</v>
      </c>
      <c r="G57" s="52" t="s">
        <v>19</v>
      </c>
      <c r="H57" s="52" t="s">
        <v>9</v>
      </c>
      <c r="I57" s="52">
        <v>18000</v>
      </c>
      <c r="J57" s="54">
        <v>4000</v>
      </c>
      <c r="K57" s="52"/>
      <c r="L57" s="55">
        <v>0.22222222222222221</v>
      </c>
      <c r="M57" s="52">
        <v>22000</v>
      </c>
      <c r="N57" s="5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s="32" customFormat="1" x14ac:dyDescent="0.25">
      <c r="A58" s="48"/>
      <c r="B58" s="48">
        <v>10022004</v>
      </c>
      <c r="C58" s="48" t="s">
        <v>89</v>
      </c>
      <c r="D58" s="48"/>
      <c r="E58" s="52" t="s">
        <v>175</v>
      </c>
      <c r="F58" s="52" t="s">
        <v>7</v>
      </c>
      <c r="G58" s="52" t="s">
        <v>19</v>
      </c>
      <c r="H58" s="52" t="s">
        <v>151</v>
      </c>
      <c r="I58" s="52">
        <v>175000</v>
      </c>
      <c r="J58" s="54">
        <v>0</v>
      </c>
      <c r="K58" s="52"/>
      <c r="L58" s="55">
        <v>0</v>
      </c>
      <c r="M58" s="52">
        <v>175000</v>
      </c>
      <c r="N58" s="5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s="32" customFormat="1" x14ac:dyDescent="0.25">
      <c r="A59" s="48"/>
      <c r="B59" s="48">
        <v>20142012</v>
      </c>
      <c r="C59" s="48" t="s">
        <v>91</v>
      </c>
      <c r="D59" s="48"/>
      <c r="E59" s="52" t="s">
        <v>175</v>
      </c>
      <c r="F59" s="52" t="s">
        <v>7</v>
      </c>
      <c r="G59" s="52" t="s">
        <v>19</v>
      </c>
      <c r="H59" s="52" t="s">
        <v>3</v>
      </c>
      <c r="I59" s="52">
        <v>35000</v>
      </c>
      <c r="J59" s="54">
        <v>7000</v>
      </c>
      <c r="K59" s="52"/>
      <c r="L59" s="55">
        <v>0.2</v>
      </c>
      <c r="M59" s="52">
        <v>42000</v>
      </c>
      <c r="N59" s="5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s="32" customFormat="1" x14ac:dyDescent="0.25">
      <c r="A60" s="48"/>
      <c r="B60" s="48">
        <v>21162017</v>
      </c>
      <c r="C60" s="48" t="s">
        <v>92</v>
      </c>
      <c r="D60" s="48"/>
      <c r="E60" s="52" t="s">
        <v>175</v>
      </c>
      <c r="F60" s="52" t="s">
        <v>7</v>
      </c>
      <c r="G60" s="52" t="s">
        <v>19</v>
      </c>
      <c r="H60" s="52" t="s">
        <v>8</v>
      </c>
      <c r="I60" s="52">
        <v>25000</v>
      </c>
      <c r="J60" s="54">
        <v>5000</v>
      </c>
      <c r="K60" s="52"/>
      <c r="L60" s="55">
        <v>0.2</v>
      </c>
      <c r="M60" s="52">
        <v>30000</v>
      </c>
      <c r="N60" s="5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s="32" customFormat="1" x14ac:dyDescent="0.25">
      <c r="A61" s="48"/>
      <c r="B61" s="48">
        <v>20762016</v>
      </c>
      <c r="C61" s="48" t="s">
        <v>150</v>
      </c>
      <c r="D61" s="48"/>
      <c r="E61" s="52" t="s">
        <v>175</v>
      </c>
      <c r="F61" s="52" t="s">
        <v>7</v>
      </c>
      <c r="G61" s="52" t="s">
        <v>19</v>
      </c>
      <c r="H61" s="52" t="s">
        <v>6</v>
      </c>
      <c r="I61" s="52">
        <v>25000</v>
      </c>
      <c r="J61" s="54">
        <v>7000</v>
      </c>
      <c r="K61" s="52"/>
      <c r="L61" s="55">
        <v>0.28000000000000003</v>
      </c>
      <c r="M61" s="52">
        <v>32000</v>
      </c>
      <c r="N61" s="5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s="32" customFormat="1" x14ac:dyDescent="0.25">
      <c r="A62" s="48"/>
      <c r="B62" s="48">
        <v>11262018</v>
      </c>
      <c r="C62" s="48" t="s">
        <v>186</v>
      </c>
      <c r="D62" s="48"/>
      <c r="E62" s="52" t="s">
        <v>175</v>
      </c>
      <c r="F62" s="52" t="s">
        <v>7</v>
      </c>
      <c r="G62" s="52" t="s">
        <v>19</v>
      </c>
      <c r="H62" s="52" t="s">
        <v>8</v>
      </c>
      <c r="I62" s="52">
        <v>15000</v>
      </c>
      <c r="J62" s="54">
        <v>5000</v>
      </c>
      <c r="K62" s="52"/>
      <c r="L62" s="55">
        <v>0.33333333333333331</v>
      </c>
      <c r="M62" s="52">
        <v>20000</v>
      </c>
      <c r="N62" s="5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s="32" customFormat="1" x14ac:dyDescent="0.25">
      <c r="A63" s="48"/>
      <c r="B63" s="48">
        <v>11132018</v>
      </c>
      <c r="C63" s="48" t="s">
        <v>185</v>
      </c>
      <c r="D63" s="48"/>
      <c r="E63" s="52" t="s">
        <v>175</v>
      </c>
      <c r="F63" s="52" t="s">
        <v>7</v>
      </c>
      <c r="G63" s="52" t="s">
        <v>19</v>
      </c>
      <c r="H63" s="52" t="s">
        <v>4</v>
      </c>
      <c r="I63" s="52">
        <v>35000</v>
      </c>
      <c r="J63" s="54">
        <v>4000</v>
      </c>
      <c r="K63" s="52"/>
      <c r="L63" s="55">
        <v>0.11428571428571428</v>
      </c>
      <c r="M63" s="52">
        <v>39000</v>
      </c>
      <c r="N63" s="5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s="32" customFormat="1" x14ac:dyDescent="0.25">
      <c r="A64" s="48"/>
      <c r="B64" s="48">
        <v>10182011</v>
      </c>
      <c r="C64" s="48" t="s">
        <v>152</v>
      </c>
      <c r="D64" s="48"/>
      <c r="E64" s="52" t="s">
        <v>175</v>
      </c>
      <c r="F64" s="52" t="s">
        <v>7</v>
      </c>
      <c r="G64" s="52" t="s">
        <v>131</v>
      </c>
      <c r="H64" s="52" t="s">
        <v>9</v>
      </c>
      <c r="I64" s="52">
        <v>34000</v>
      </c>
      <c r="J64" s="54">
        <v>6000</v>
      </c>
      <c r="K64" s="52"/>
      <c r="L64" s="55">
        <v>0.17647058823529413</v>
      </c>
      <c r="M64" s="52">
        <v>40000</v>
      </c>
      <c r="N64" s="5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s="32" customFormat="1" x14ac:dyDescent="0.25">
      <c r="A65" s="48"/>
      <c r="B65" s="48">
        <v>10152009</v>
      </c>
      <c r="C65" s="48" t="s">
        <v>93</v>
      </c>
      <c r="D65" s="48"/>
      <c r="E65" s="52" t="s">
        <v>175</v>
      </c>
      <c r="F65" s="52" t="s">
        <v>7</v>
      </c>
      <c r="G65" s="52" t="s">
        <v>19</v>
      </c>
      <c r="H65" s="52" t="s">
        <v>9</v>
      </c>
      <c r="I65" s="52">
        <v>29000</v>
      </c>
      <c r="J65" s="54">
        <v>6000</v>
      </c>
      <c r="K65" s="52"/>
      <c r="L65" s="55">
        <v>0.20689655172413793</v>
      </c>
      <c r="M65" s="52">
        <v>35000</v>
      </c>
      <c r="N65" s="5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s="32" customFormat="1" x14ac:dyDescent="0.25">
      <c r="A66" s="48"/>
      <c r="B66" s="48">
        <v>20162010</v>
      </c>
      <c r="C66" s="48" t="s">
        <v>94</v>
      </c>
      <c r="D66" s="48"/>
      <c r="E66" s="52" t="s">
        <v>175</v>
      </c>
      <c r="F66" s="52" t="s">
        <v>7</v>
      </c>
      <c r="G66" s="52" t="s">
        <v>19</v>
      </c>
      <c r="H66" s="52" t="s">
        <v>3</v>
      </c>
      <c r="I66" s="52">
        <v>31000</v>
      </c>
      <c r="J66" s="54">
        <v>5000</v>
      </c>
      <c r="K66" s="52"/>
      <c r="L66" s="55">
        <v>0.16129032258064516</v>
      </c>
      <c r="M66" s="52">
        <v>36000</v>
      </c>
      <c r="N66" s="5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s="32" customFormat="1" x14ac:dyDescent="0.25">
      <c r="A67" s="48"/>
      <c r="B67" s="48">
        <v>20822016</v>
      </c>
      <c r="C67" s="48" t="s">
        <v>95</v>
      </c>
      <c r="D67" s="48"/>
      <c r="E67" s="52" t="s">
        <v>175</v>
      </c>
      <c r="F67" s="52" t="s">
        <v>7</v>
      </c>
      <c r="G67" s="52" t="s">
        <v>19</v>
      </c>
      <c r="H67" s="52" t="s">
        <v>6</v>
      </c>
      <c r="I67" s="52">
        <v>17000</v>
      </c>
      <c r="J67" s="54">
        <v>5000</v>
      </c>
      <c r="K67" s="52"/>
      <c r="L67" s="55">
        <v>0.29411764705882354</v>
      </c>
      <c r="M67" s="52">
        <v>22000</v>
      </c>
      <c r="N67" s="5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s="32" customFormat="1" x14ac:dyDescent="0.25">
      <c r="A68" s="48"/>
      <c r="B68" s="48">
        <v>21222018</v>
      </c>
      <c r="C68" s="48" t="s">
        <v>96</v>
      </c>
      <c r="D68" s="48"/>
      <c r="E68" s="52" t="s">
        <v>175</v>
      </c>
      <c r="F68" s="52" t="s">
        <v>7</v>
      </c>
      <c r="G68" s="52" t="s">
        <v>19</v>
      </c>
      <c r="H68" s="52" t="s">
        <v>8</v>
      </c>
      <c r="I68" s="52">
        <v>23000</v>
      </c>
      <c r="J68" s="54">
        <v>5000</v>
      </c>
      <c r="K68" s="52"/>
      <c r="L68" s="55">
        <v>0.21739130434782608</v>
      </c>
      <c r="M68" s="52">
        <v>28000</v>
      </c>
      <c r="N68" s="5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s="32" customFormat="1" x14ac:dyDescent="0.25">
      <c r="A69" s="48"/>
      <c r="B69" s="48">
        <v>21282018</v>
      </c>
      <c r="C69" s="48" t="s">
        <v>97</v>
      </c>
      <c r="D69" s="48"/>
      <c r="E69" s="52" t="s">
        <v>175</v>
      </c>
      <c r="F69" s="52" t="s">
        <v>7</v>
      </c>
      <c r="G69" s="52" t="s">
        <v>19</v>
      </c>
      <c r="H69" s="52" t="s">
        <v>8</v>
      </c>
      <c r="I69" s="52">
        <v>18000</v>
      </c>
      <c r="J69" s="54">
        <v>7000</v>
      </c>
      <c r="K69" s="52"/>
      <c r="L69" s="55">
        <v>0.3888888888888889</v>
      </c>
      <c r="M69" s="52">
        <v>25000</v>
      </c>
      <c r="N69" s="5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s="32" customFormat="1" x14ac:dyDescent="0.25">
      <c r="A70" s="48"/>
      <c r="B70" s="48">
        <v>20462013</v>
      </c>
      <c r="C70" s="48" t="s">
        <v>98</v>
      </c>
      <c r="D70" s="48"/>
      <c r="E70" s="52" t="s">
        <v>175</v>
      </c>
      <c r="F70" s="52" t="s">
        <v>7</v>
      </c>
      <c r="G70" s="52" t="s">
        <v>19</v>
      </c>
      <c r="H70" s="52" t="s">
        <v>9</v>
      </c>
      <c r="I70" s="52">
        <v>20000</v>
      </c>
      <c r="J70" s="54">
        <v>4000</v>
      </c>
      <c r="K70" s="52"/>
      <c r="L70" s="55">
        <v>0.2</v>
      </c>
      <c r="M70" s="52">
        <v>24000</v>
      </c>
      <c r="N70" s="5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s="32" customFormat="1" x14ac:dyDescent="0.25">
      <c r="A71" s="48"/>
      <c r="B71" s="48">
        <v>10412012</v>
      </c>
      <c r="C71" s="48" t="s">
        <v>99</v>
      </c>
      <c r="D71" s="48"/>
      <c r="E71" s="52" t="s">
        <v>175</v>
      </c>
      <c r="F71" s="52" t="s">
        <v>7</v>
      </c>
      <c r="G71" s="52" t="s">
        <v>19</v>
      </c>
      <c r="H71" s="52" t="s">
        <v>9</v>
      </c>
      <c r="I71" s="52">
        <v>21000</v>
      </c>
      <c r="J71" s="54">
        <v>4000</v>
      </c>
      <c r="K71" s="52"/>
      <c r="L71" s="55">
        <v>0.19047619047619047</v>
      </c>
      <c r="M71" s="52">
        <v>25000</v>
      </c>
      <c r="N71" s="5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s="32" customFormat="1" x14ac:dyDescent="0.25">
      <c r="A72" s="48"/>
      <c r="B72" s="48">
        <v>11042018</v>
      </c>
      <c r="C72" s="48" t="s">
        <v>187</v>
      </c>
      <c r="D72" s="48"/>
      <c r="E72" s="52" t="s">
        <v>175</v>
      </c>
      <c r="F72" s="52" t="s">
        <v>7</v>
      </c>
      <c r="G72" s="52" t="s">
        <v>19</v>
      </c>
      <c r="H72" s="52" t="s">
        <v>130</v>
      </c>
      <c r="I72" s="52">
        <v>70000</v>
      </c>
      <c r="J72" s="54">
        <v>5000</v>
      </c>
      <c r="K72" s="52"/>
      <c r="L72" s="55">
        <v>7.1428571428571425E-2</v>
      </c>
      <c r="M72" s="52">
        <v>75000</v>
      </c>
      <c r="N72" s="5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s="32" customFormat="1" x14ac:dyDescent="0.25">
      <c r="A73" s="48"/>
      <c r="B73" s="48">
        <v>11122018</v>
      </c>
      <c r="C73" s="48" t="s">
        <v>189</v>
      </c>
      <c r="D73" s="48"/>
      <c r="E73" s="52" t="s">
        <v>175</v>
      </c>
      <c r="F73" s="52" t="s">
        <v>7</v>
      </c>
      <c r="G73" s="52" t="s">
        <v>19</v>
      </c>
      <c r="H73" s="52" t="s">
        <v>8</v>
      </c>
      <c r="I73" s="52">
        <v>18000</v>
      </c>
      <c r="J73" s="54">
        <v>4000</v>
      </c>
      <c r="K73" s="52"/>
      <c r="L73" s="55">
        <v>0.22222222222222221</v>
      </c>
      <c r="M73" s="52">
        <v>22000</v>
      </c>
      <c r="N73" s="5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s="32" customFormat="1" x14ac:dyDescent="0.25">
      <c r="A74" s="48"/>
      <c r="B74" s="48">
        <v>11252018</v>
      </c>
      <c r="C74" s="48" t="s">
        <v>190</v>
      </c>
      <c r="D74" s="48"/>
      <c r="E74" s="52" t="s">
        <v>175</v>
      </c>
      <c r="F74" s="52" t="s">
        <v>7</v>
      </c>
      <c r="G74" s="52" t="s">
        <v>19</v>
      </c>
      <c r="H74" s="52" t="s">
        <v>8</v>
      </c>
      <c r="I74" s="52">
        <v>15000</v>
      </c>
      <c r="J74" s="54">
        <v>5000</v>
      </c>
      <c r="K74" s="52"/>
      <c r="L74" s="55">
        <v>0.33333333333333331</v>
      </c>
      <c r="M74" s="52">
        <v>20000</v>
      </c>
      <c r="N74" s="5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s="32" customFormat="1" x14ac:dyDescent="0.25">
      <c r="A75" s="48"/>
      <c r="B75" s="48">
        <v>10081999</v>
      </c>
      <c r="C75" s="48" t="s">
        <v>101</v>
      </c>
      <c r="D75" s="48"/>
      <c r="E75" s="52" t="s">
        <v>175</v>
      </c>
      <c r="F75" s="52" t="s">
        <v>7</v>
      </c>
      <c r="G75" s="52" t="s">
        <v>276</v>
      </c>
      <c r="H75" s="52" t="s">
        <v>9</v>
      </c>
      <c r="I75" s="52">
        <v>52000</v>
      </c>
      <c r="J75" s="54">
        <v>3000</v>
      </c>
      <c r="K75" s="52"/>
      <c r="L75" s="55">
        <v>5.7692307692307696E-2</v>
      </c>
      <c r="M75" s="52">
        <v>55000</v>
      </c>
      <c r="N75" s="5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s="32" customFormat="1" x14ac:dyDescent="0.25">
      <c r="A76" s="48"/>
      <c r="B76" s="48">
        <v>20912016</v>
      </c>
      <c r="C76" s="48" t="s">
        <v>102</v>
      </c>
      <c r="D76" s="48"/>
      <c r="E76" s="52" t="s">
        <v>175</v>
      </c>
      <c r="F76" s="52" t="s">
        <v>7</v>
      </c>
      <c r="G76" s="52" t="s">
        <v>276</v>
      </c>
      <c r="H76" s="52" t="s">
        <v>3</v>
      </c>
      <c r="I76" s="52">
        <v>35000</v>
      </c>
      <c r="J76" s="54">
        <v>7000</v>
      </c>
      <c r="K76" s="52"/>
      <c r="L76" s="55">
        <v>0.2</v>
      </c>
      <c r="M76" s="52">
        <v>42000</v>
      </c>
      <c r="N76" s="5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s="32" customFormat="1" x14ac:dyDescent="0.25">
      <c r="A77" s="48"/>
      <c r="B77" s="48">
        <v>11242018</v>
      </c>
      <c r="C77" s="48" t="s">
        <v>196</v>
      </c>
      <c r="D77" s="48"/>
      <c r="E77" s="52" t="s">
        <v>175</v>
      </c>
      <c r="F77" s="52" t="s">
        <v>7</v>
      </c>
      <c r="G77" s="52" t="s">
        <v>195</v>
      </c>
      <c r="H77" s="52" t="s">
        <v>184</v>
      </c>
      <c r="I77" s="52">
        <v>40000</v>
      </c>
      <c r="J77" s="54">
        <v>0</v>
      </c>
      <c r="K77" s="52"/>
      <c r="L77" s="55">
        <v>0</v>
      </c>
      <c r="M77" s="52">
        <v>40000</v>
      </c>
      <c r="N77" s="5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s="32" customFormat="1" x14ac:dyDescent="0.25">
      <c r="A78" s="48"/>
      <c r="B78" s="48">
        <v>10172019</v>
      </c>
      <c r="C78" s="48" t="s">
        <v>24</v>
      </c>
      <c r="D78" s="48"/>
      <c r="E78" s="52" t="s">
        <v>175</v>
      </c>
      <c r="F78" s="52" t="s">
        <v>7</v>
      </c>
      <c r="G78" s="52" t="s">
        <v>20</v>
      </c>
      <c r="H78" s="52" t="s">
        <v>9</v>
      </c>
      <c r="I78" s="52">
        <v>37000</v>
      </c>
      <c r="J78" s="54">
        <v>3000</v>
      </c>
      <c r="K78" s="52"/>
      <c r="L78" s="55">
        <v>8.1081081081081086E-2</v>
      </c>
      <c r="M78" s="52">
        <v>40000</v>
      </c>
      <c r="N78" s="5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s="32" customFormat="1" x14ac:dyDescent="0.25">
      <c r="A79" s="48"/>
      <c r="B79" s="48">
        <v>20862017</v>
      </c>
      <c r="C79" s="48" t="s">
        <v>103</v>
      </c>
      <c r="D79" s="48"/>
      <c r="E79" s="52" t="s">
        <v>175</v>
      </c>
      <c r="F79" s="52" t="s">
        <v>7</v>
      </c>
      <c r="G79" s="52" t="s">
        <v>20</v>
      </c>
      <c r="H79" s="52" t="s">
        <v>9</v>
      </c>
      <c r="I79" s="52">
        <v>18000</v>
      </c>
      <c r="J79" s="54">
        <v>6000</v>
      </c>
      <c r="K79" s="52"/>
      <c r="L79" s="55">
        <v>0.33333333333333331</v>
      </c>
      <c r="M79" s="52">
        <v>24000</v>
      </c>
      <c r="N79" s="5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s="32" customFormat="1" x14ac:dyDescent="0.25">
      <c r="A80" s="48"/>
      <c r="B80" s="48">
        <v>21062016</v>
      </c>
      <c r="C80" s="48" t="s">
        <v>104</v>
      </c>
      <c r="D80" s="48"/>
      <c r="E80" s="52" t="s">
        <v>175</v>
      </c>
      <c r="F80" s="52" t="s">
        <v>7</v>
      </c>
      <c r="G80" s="52" t="s">
        <v>20</v>
      </c>
      <c r="H80" s="52" t="s">
        <v>26</v>
      </c>
      <c r="I80" s="52">
        <v>18000</v>
      </c>
      <c r="J80" s="54">
        <v>4000</v>
      </c>
      <c r="K80" s="52"/>
      <c r="L80" s="55">
        <v>0.22222222222222221</v>
      </c>
      <c r="M80" s="52">
        <v>22000</v>
      </c>
      <c r="N80" s="5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s="32" customFormat="1" x14ac:dyDescent="0.25">
      <c r="A81" s="48"/>
      <c r="B81" s="48">
        <v>11272018</v>
      </c>
      <c r="C81" s="48" t="s">
        <v>191</v>
      </c>
      <c r="D81" s="48"/>
      <c r="E81" s="52" t="s">
        <v>175</v>
      </c>
      <c r="F81" s="52" t="s">
        <v>7</v>
      </c>
      <c r="G81" s="52" t="s">
        <v>19</v>
      </c>
      <c r="H81" s="52" t="s">
        <v>192</v>
      </c>
      <c r="I81" s="52">
        <v>15000</v>
      </c>
      <c r="J81" s="54">
        <v>5000</v>
      </c>
      <c r="K81" s="52"/>
      <c r="L81" s="55">
        <v>0.33333333333333331</v>
      </c>
      <c r="M81" s="52">
        <v>20000</v>
      </c>
      <c r="N81" s="5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s="32" customFormat="1" x14ac:dyDescent="0.25">
      <c r="A82" s="48"/>
      <c r="B82" s="48">
        <v>21102017</v>
      </c>
      <c r="C82" s="48" t="s">
        <v>105</v>
      </c>
      <c r="D82" s="48"/>
      <c r="E82" s="52" t="s">
        <v>175</v>
      </c>
      <c r="F82" s="52" t="s">
        <v>7</v>
      </c>
      <c r="G82" s="52" t="s">
        <v>19</v>
      </c>
      <c r="H82" s="52" t="s">
        <v>9</v>
      </c>
      <c r="I82" s="52">
        <v>12000</v>
      </c>
      <c r="J82" s="54">
        <v>5000</v>
      </c>
      <c r="K82" s="52"/>
      <c r="L82" s="55">
        <v>0.41666666666666669</v>
      </c>
      <c r="M82" s="52">
        <v>17000</v>
      </c>
      <c r="N82" s="5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s="32" customFormat="1" x14ac:dyDescent="0.25">
      <c r="A83" s="48"/>
      <c r="B83" s="48">
        <v>20402006</v>
      </c>
      <c r="C83" s="48" t="s">
        <v>106</v>
      </c>
      <c r="D83" s="48"/>
      <c r="E83" s="52" t="s">
        <v>175</v>
      </c>
      <c r="F83" s="52" t="s">
        <v>7</v>
      </c>
      <c r="G83" s="52" t="s">
        <v>20</v>
      </c>
      <c r="H83" s="52" t="s">
        <v>27</v>
      </c>
      <c r="I83" s="52">
        <v>16000</v>
      </c>
      <c r="J83" s="54">
        <v>2000</v>
      </c>
      <c r="K83" s="52"/>
      <c r="L83" s="55">
        <v>0.125</v>
      </c>
      <c r="M83" s="52">
        <v>18000</v>
      </c>
      <c r="N83" s="5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s="32" customFormat="1" x14ac:dyDescent="0.25">
      <c r="A84" s="48"/>
      <c r="B84" s="48">
        <v>10431999</v>
      </c>
      <c r="C84" s="48" t="s">
        <v>107</v>
      </c>
      <c r="D84" s="48"/>
      <c r="E84" s="52" t="s">
        <v>175</v>
      </c>
      <c r="F84" s="52" t="s">
        <v>7</v>
      </c>
      <c r="G84" s="52" t="s">
        <v>20</v>
      </c>
      <c r="H84" s="52" t="s">
        <v>28</v>
      </c>
      <c r="I84" s="52">
        <v>16000</v>
      </c>
      <c r="J84" s="54">
        <v>2000</v>
      </c>
      <c r="K84" s="52"/>
      <c r="L84" s="55">
        <v>0.125</v>
      </c>
      <c r="M84" s="52">
        <v>18000</v>
      </c>
      <c r="N84" s="5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s="32" customFormat="1" x14ac:dyDescent="0.25">
      <c r="A85" s="48"/>
      <c r="B85" s="48">
        <v>10632016</v>
      </c>
      <c r="C85" s="48" t="s">
        <v>108</v>
      </c>
      <c r="D85" s="48"/>
      <c r="E85" s="52" t="s">
        <v>175</v>
      </c>
      <c r="F85" s="52" t="s">
        <v>7</v>
      </c>
      <c r="G85" s="52" t="s">
        <v>20</v>
      </c>
      <c r="H85" s="52" t="s">
        <v>29</v>
      </c>
      <c r="I85" s="52">
        <v>13500</v>
      </c>
      <c r="J85" s="54">
        <v>1500</v>
      </c>
      <c r="K85" s="52"/>
      <c r="L85" s="55">
        <v>0.1111111111111111</v>
      </c>
      <c r="M85" s="52">
        <v>15000</v>
      </c>
      <c r="N85" s="5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s="32" customFormat="1" x14ac:dyDescent="0.25">
      <c r="A86" s="48"/>
      <c r="B86" s="48">
        <v>20420000</v>
      </c>
      <c r="C86" s="48" t="s">
        <v>109</v>
      </c>
      <c r="D86" s="48"/>
      <c r="E86" s="52" t="s">
        <v>175</v>
      </c>
      <c r="F86" s="52" t="s">
        <v>7</v>
      </c>
      <c r="G86" s="52" t="s">
        <v>20</v>
      </c>
      <c r="H86" s="52" t="s">
        <v>28</v>
      </c>
      <c r="I86" s="52">
        <v>14000</v>
      </c>
      <c r="J86" s="54">
        <v>2000</v>
      </c>
      <c r="K86" s="52"/>
      <c r="L86" s="55">
        <v>0.14285714285714285</v>
      </c>
      <c r="M86" s="52">
        <v>16000</v>
      </c>
      <c r="N86" s="5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s="32" customFormat="1" x14ac:dyDescent="0.25">
      <c r="A87" s="48"/>
      <c r="B87" s="48">
        <v>21082017</v>
      </c>
      <c r="C87" s="48" t="s">
        <v>113</v>
      </c>
      <c r="D87" s="48"/>
      <c r="E87" s="52" t="s">
        <v>175</v>
      </c>
      <c r="F87" s="52" t="s">
        <v>7</v>
      </c>
      <c r="G87" s="52" t="s">
        <v>20</v>
      </c>
      <c r="H87" s="52" t="s">
        <v>28</v>
      </c>
      <c r="I87" s="52">
        <v>11000</v>
      </c>
      <c r="J87" s="54">
        <v>2000</v>
      </c>
      <c r="K87" s="52"/>
      <c r="L87" s="55">
        <v>0.18181818181818182</v>
      </c>
      <c r="M87" s="52">
        <v>13000</v>
      </c>
      <c r="N87" s="5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s="32" customFormat="1" x14ac:dyDescent="0.25">
      <c r="A88" s="48"/>
      <c r="B88" s="48">
        <v>20872017</v>
      </c>
      <c r="C88" s="48" t="s">
        <v>115</v>
      </c>
      <c r="D88" s="48"/>
      <c r="E88" s="52" t="s">
        <v>175</v>
      </c>
      <c r="F88" s="52" t="s">
        <v>7</v>
      </c>
      <c r="G88" s="52" t="s">
        <v>20</v>
      </c>
      <c r="H88" s="52" t="s">
        <v>28</v>
      </c>
      <c r="I88" s="52">
        <v>11000</v>
      </c>
      <c r="J88" s="54">
        <v>2000</v>
      </c>
      <c r="K88" s="52"/>
      <c r="L88" s="55">
        <v>0.18181818181818182</v>
      </c>
      <c r="M88" s="52">
        <v>13000</v>
      </c>
      <c r="N88" s="5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s="32" customFormat="1" x14ac:dyDescent="0.25">
      <c r="A89" s="48"/>
      <c r="B89" s="48">
        <v>21292018</v>
      </c>
      <c r="C89" s="48" t="s">
        <v>116</v>
      </c>
      <c r="D89" s="48"/>
      <c r="E89" s="52" t="s">
        <v>175</v>
      </c>
      <c r="F89" s="52" t="s">
        <v>7</v>
      </c>
      <c r="G89" s="52" t="s">
        <v>20</v>
      </c>
      <c r="H89" s="52" t="s">
        <v>27</v>
      </c>
      <c r="I89" s="52">
        <v>10000</v>
      </c>
      <c r="J89" s="54">
        <v>3000</v>
      </c>
      <c r="K89" s="52"/>
      <c r="L89" s="55">
        <v>0.3</v>
      </c>
      <c r="M89" s="52">
        <v>13000</v>
      </c>
      <c r="N89" s="5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s="32" customFormat="1" x14ac:dyDescent="0.25">
      <c r="A90" s="48"/>
      <c r="B90" s="48">
        <v>20412000</v>
      </c>
      <c r="C90" s="48" t="s">
        <v>117</v>
      </c>
      <c r="D90" s="48"/>
      <c r="E90" s="52" t="s">
        <v>175</v>
      </c>
      <c r="F90" s="52" t="s">
        <v>7</v>
      </c>
      <c r="G90" s="52" t="s">
        <v>20</v>
      </c>
      <c r="H90" s="52" t="s">
        <v>30</v>
      </c>
      <c r="I90" s="52">
        <v>14000</v>
      </c>
      <c r="J90" s="54">
        <v>2000</v>
      </c>
      <c r="K90" s="52"/>
      <c r="L90" s="55">
        <v>0.14285714285714285</v>
      </c>
      <c r="M90" s="52">
        <v>16000</v>
      </c>
      <c r="N90" s="5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s="32" customFormat="1" x14ac:dyDescent="0.25">
      <c r="A91" s="48"/>
      <c r="B91" s="48">
        <v>20442006</v>
      </c>
      <c r="C91" s="48" t="s">
        <v>160</v>
      </c>
      <c r="D91" s="48"/>
      <c r="E91" s="52" t="s">
        <v>175</v>
      </c>
      <c r="F91" s="52" t="s">
        <v>7</v>
      </c>
      <c r="G91" s="52" t="s">
        <v>20</v>
      </c>
      <c r="H91" s="52" t="s">
        <v>30</v>
      </c>
      <c r="I91" s="52">
        <v>14000</v>
      </c>
      <c r="J91" s="54">
        <v>2000</v>
      </c>
      <c r="K91" s="52"/>
      <c r="L91" s="55">
        <v>0.14285714285714285</v>
      </c>
      <c r="M91" s="52">
        <v>16000</v>
      </c>
      <c r="N91" s="5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s="32" customFormat="1" x14ac:dyDescent="0.25">
      <c r="A92" s="48"/>
      <c r="B92" s="48">
        <v>21012017</v>
      </c>
      <c r="C92" s="48" t="s">
        <v>118</v>
      </c>
      <c r="D92" s="48"/>
      <c r="E92" s="52" t="s">
        <v>175</v>
      </c>
      <c r="F92" s="52" t="s">
        <v>7</v>
      </c>
      <c r="G92" s="52" t="s">
        <v>20</v>
      </c>
      <c r="H92" s="52" t="s">
        <v>207</v>
      </c>
      <c r="I92" s="52">
        <v>12000</v>
      </c>
      <c r="J92" s="54">
        <v>2000</v>
      </c>
      <c r="K92" s="52"/>
      <c r="L92" s="55">
        <v>0.16666666666666666</v>
      </c>
      <c r="M92" s="52">
        <v>14000</v>
      </c>
      <c r="N92" s="5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s="32" customFormat="1" x14ac:dyDescent="0.25">
      <c r="A93" s="48"/>
      <c r="B93" s="48">
        <v>21022017</v>
      </c>
      <c r="C93" s="48" t="s">
        <v>119</v>
      </c>
      <c r="D93" s="48"/>
      <c r="E93" s="52" t="s">
        <v>175</v>
      </c>
      <c r="F93" s="52" t="s">
        <v>7</v>
      </c>
      <c r="G93" s="52" t="s">
        <v>20</v>
      </c>
      <c r="H93" s="52" t="s">
        <v>28</v>
      </c>
      <c r="I93" s="52">
        <v>10000</v>
      </c>
      <c r="J93" s="54">
        <v>2000</v>
      </c>
      <c r="K93" s="52"/>
      <c r="L93" s="55">
        <v>0.2</v>
      </c>
      <c r="M93" s="52">
        <v>12000</v>
      </c>
      <c r="N93" s="5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s="32" customFormat="1" x14ac:dyDescent="0.25">
      <c r="A94" s="48"/>
      <c r="B94" s="48">
        <v>11052018</v>
      </c>
      <c r="C94" s="48" t="s">
        <v>197</v>
      </c>
      <c r="D94" s="48"/>
      <c r="E94" s="52" t="s">
        <v>175</v>
      </c>
      <c r="F94" s="52" t="s">
        <v>7</v>
      </c>
      <c r="G94" s="52" t="s">
        <v>20</v>
      </c>
      <c r="H94" s="52" t="s">
        <v>198</v>
      </c>
      <c r="I94" s="52">
        <v>40000</v>
      </c>
      <c r="J94" s="54">
        <v>5000</v>
      </c>
      <c r="K94" s="52"/>
      <c r="L94" s="55">
        <v>0.125</v>
      </c>
      <c r="M94" s="52">
        <v>45000</v>
      </c>
      <c r="N94" s="5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s="32" customFormat="1" x14ac:dyDescent="0.25">
      <c r="A95" s="48"/>
      <c r="B95" s="48">
        <v>11102018</v>
      </c>
      <c r="C95" s="48" t="s">
        <v>199</v>
      </c>
      <c r="D95" s="48"/>
      <c r="E95" s="52" t="s">
        <v>175</v>
      </c>
      <c r="F95" s="52" t="s">
        <v>7</v>
      </c>
      <c r="G95" s="52" t="s">
        <v>20</v>
      </c>
      <c r="H95" s="52" t="s">
        <v>4</v>
      </c>
      <c r="I95" s="52">
        <v>30000</v>
      </c>
      <c r="J95" s="54">
        <v>5000</v>
      </c>
      <c r="K95" s="52"/>
      <c r="L95" s="55">
        <v>0.16666666666666666</v>
      </c>
      <c r="M95" s="52">
        <v>35000</v>
      </c>
      <c r="N95" s="5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s="32" customFormat="1" x14ac:dyDescent="0.25">
      <c r="A96" s="48"/>
      <c r="B96" s="48">
        <v>11082018</v>
      </c>
      <c r="C96" s="48" t="s">
        <v>202</v>
      </c>
      <c r="D96" s="48"/>
      <c r="E96" s="52" t="s">
        <v>175</v>
      </c>
      <c r="F96" s="52" t="s">
        <v>7</v>
      </c>
      <c r="G96" s="52" t="s">
        <v>20</v>
      </c>
      <c r="H96" s="52" t="s">
        <v>203</v>
      </c>
      <c r="I96" s="52">
        <v>10000</v>
      </c>
      <c r="J96" s="54">
        <v>5000</v>
      </c>
      <c r="K96" s="52"/>
      <c r="L96" s="55">
        <v>0.5</v>
      </c>
      <c r="M96" s="52">
        <v>15000</v>
      </c>
      <c r="N96" s="5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s="32" customFormat="1" x14ac:dyDescent="0.25">
      <c r="A97" s="48"/>
      <c r="B97" s="48">
        <v>21422018</v>
      </c>
      <c r="C97" s="48" t="s">
        <v>204</v>
      </c>
      <c r="D97" s="48"/>
      <c r="E97" s="52" t="s">
        <v>175</v>
      </c>
      <c r="F97" s="52" t="s">
        <v>7</v>
      </c>
      <c r="G97" s="52" t="s">
        <v>20</v>
      </c>
      <c r="H97" s="52" t="s">
        <v>205</v>
      </c>
      <c r="I97" s="52">
        <v>14000</v>
      </c>
      <c r="J97" s="54">
        <v>2000</v>
      </c>
      <c r="K97" s="52"/>
      <c r="L97" s="55">
        <v>0.14285714285714285</v>
      </c>
      <c r="M97" s="52">
        <v>16000</v>
      </c>
      <c r="N97" s="5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s="32" customFormat="1" x14ac:dyDescent="0.25">
      <c r="A98" s="48"/>
      <c r="B98" s="48">
        <v>21392018</v>
      </c>
      <c r="C98" s="48" t="s">
        <v>57</v>
      </c>
      <c r="D98" s="48"/>
      <c r="E98" s="52" t="s">
        <v>175</v>
      </c>
      <c r="F98" s="52" t="s">
        <v>7</v>
      </c>
      <c r="G98" s="52" t="s">
        <v>20</v>
      </c>
      <c r="H98" s="52" t="s">
        <v>28</v>
      </c>
      <c r="I98" s="52">
        <v>10000</v>
      </c>
      <c r="J98" s="54">
        <v>4000</v>
      </c>
      <c r="K98" s="52"/>
      <c r="L98" s="55">
        <v>0.4</v>
      </c>
      <c r="M98" s="52">
        <v>14000</v>
      </c>
      <c r="N98" s="52" t="s">
        <v>257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s="32" customFormat="1" x14ac:dyDescent="0.25">
      <c r="A99" s="48"/>
      <c r="B99" s="48">
        <v>21382018</v>
      </c>
      <c r="C99" s="48" t="s">
        <v>206</v>
      </c>
      <c r="D99" s="48"/>
      <c r="E99" s="52" t="s">
        <v>175</v>
      </c>
      <c r="F99" s="52" t="s">
        <v>7</v>
      </c>
      <c r="G99" s="52" t="s">
        <v>20</v>
      </c>
      <c r="H99" s="52" t="s">
        <v>28</v>
      </c>
      <c r="I99" s="52">
        <v>10000</v>
      </c>
      <c r="J99" s="54">
        <v>2000</v>
      </c>
      <c r="K99" s="52"/>
      <c r="L99" s="55">
        <v>0.2</v>
      </c>
      <c r="M99" s="52">
        <v>12000</v>
      </c>
      <c r="N99" s="5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s="32" customFormat="1" x14ac:dyDescent="0.25">
      <c r="A100" s="48"/>
      <c r="B100" s="48">
        <v>21512019</v>
      </c>
      <c r="C100" s="48" t="s">
        <v>208</v>
      </c>
      <c r="D100" s="48"/>
      <c r="E100" s="52" t="s">
        <v>175</v>
      </c>
      <c r="F100" s="52" t="s">
        <v>7</v>
      </c>
      <c r="G100" s="52" t="s">
        <v>20</v>
      </c>
      <c r="H100" s="52" t="s">
        <v>207</v>
      </c>
      <c r="I100" s="52">
        <v>9000</v>
      </c>
      <c r="J100" s="54">
        <v>1000</v>
      </c>
      <c r="K100" s="52"/>
      <c r="L100" s="55">
        <v>0.1111111111111111</v>
      </c>
      <c r="M100" s="52">
        <v>10000</v>
      </c>
      <c r="N100" s="5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s="32" customFormat="1" x14ac:dyDescent="0.25">
      <c r="A101" s="48"/>
      <c r="B101" s="48">
        <v>21412018</v>
      </c>
      <c r="C101" s="48" t="s">
        <v>209</v>
      </c>
      <c r="D101" s="48"/>
      <c r="E101" s="52" t="s">
        <v>175</v>
      </c>
      <c r="F101" s="52" t="s">
        <v>7</v>
      </c>
      <c r="G101" s="52" t="s">
        <v>20</v>
      </c>
      <c r="H101" s="52" t="s">
        <v>207</v>
      </c>
      <c r="I101" s="52">
        <v>10000</v>
      </c>
      <c r="J101" s="54">
        <v>3000</v>
      </c>
      <c r="K101" s="52"/>
      <c r="L101" s="55">
        <v>0.3</v>
      </c>
      <c r="M101" s="52">
        <v>13000</v>
      </c>
      <c r="N101" s="5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s="32" customFormat="1" x14ac:dyDescent="0.25">
      <c r="A102" s="48"/>
      <c r="B102" s="48">
        <v>21252018</v>
      </c>
      <c r="C102" s="48" t="s">
        <v>210</v>
      </c>
      <c r="D102" s="48"/>
      <c r="E102" s="52" t="s">
        <v>175</v>
      </c>
      <c r="F102" s="52" t="s">
        <v>7</v>
      </c>
      <c r="G102" s="52" t="s">
        <v>211</v>
      </c>
      <c r="H102" s="52" t="s">
        <v>212</v>
      </c>
      <c r="I102" s="52">
        <v>18000</v>
      </c>
      <c r="J102" s="54">
        <v>1000</v>
      </c>
      <c r="K102" s="52"/>
      <c r="L102" s="55">
        <v>5.5555555555555552E-2</v>
      </c>
      <c r="M102" s="52">
        <v>19000</v>
      </c>
      <c r="N102" s="52" t="s">
        <v>213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s="32" customFormat="1" x14ac:dyDescent="0.25">
      <c r="A103" s="48"/>
      <c r="B103" s="48">
        <v>20522011</v>
      </c>
      <c r="C103" s="48" t="s">
        <v>214</v>
      </c>
      <c r="D103" s="48"/>
      <c r="E103" s="52" t="s">
        <v>175</v>
      </c>
      <c r="F103" s="52" t="s">
        <v>7</v>
      </c>
      <c r="G103" s="52" t="s">
        <v>211</v>
      </c>
      <c r="H103" s="52" t="s">
        <v>212</v>
      </c>
      <c r="I103" s="52">
        <v>17000</v>
      </c>
      <c r="J103" s="54">
        <v>2000</v>
      </c>
      <c r="K103" s="52"/>
      <c r="L103" s="55">
        <v>0.11764705882352941</v>
      </c>
      <c r="M103" s="52">
        <v>19000</v>
      </c>
      <c r="N103" s="52" t="s">
        <v>213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s="32" customFormat="1" x14ac:dyDescent="0.25">
      <c r="A104" s="48"/>
      <c r="B104" s="48">
        <v>21242018</v>
      </c>
      <c r="C104" s="48" t="s">
        <v>215</v>
      </c>
      <c r="D104" s="48"/>
      <c r="E104" s="52" t="s">
        <v>175</v>
      </c>
      <c r="F104" s="52" t="s">
        <v>7</v>
      </c>
      <c r="G104" s="52" t="s">
        <v>211</v>
      </c>
      <c r="H104" s="52" t="s">
        <v>212</v>
      </c>
      <c r="I104" s="52">
        <v>17000</v>
      </c>
      <c r="J104" s="54">
        <v>2000</v>
      </c>
      <c r="K104" s="52"/>
      <c r="L104" s="55">
        <v>0.11764705882352941</v>
      </c>
      <c r="M104" s="52">
        <v>19000</v>
      </c>
      <c r="N104" s="52" t="s">
        <v>213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s="32" customFormat="1" x14ac:dyDescent="0.25">
      <c r="A105" s="48"/>
      <c r="B105" s="48">
        <v>10612015</v>
      </c>
      <c r="C105" s="48" t="s">
        <v>216</v>
      </c>
      <c r="D105" s="48"/>
      <c r="E105" s="52" t="s">
        <v>175</v>
      </c>
      <c r="F105" s="52" t="s">
        <v>7</v>
      </c>
      <c r="G105" s="52" t="s">
        <v>211</v>
      </c>
      <c r="H105" s="52" t="s">
        <v>212</v>
      </c>
      <c r="I105" s="52">
        <v>17000</v>
      </c>
      <c r="J105" s="54">
        <v>2000</v>
      </c>
      <c r="K105" s="52"/>
      <c r="L105" s="55">
        <v>0.11764705882352941</v>
      </c>
      <c r="M105" s="52">
        <v>19000</v>
      </c>
      <c r="N105" s="52" t="s">
        <v>213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s="32" customFormat="1" x14ac:dyDescent="0.25">
      <c r="A106" s="48"/>
      <c r="B106" s="48">
        <v>11152018</v>
      </c>
      <c r="C106" s="48" t="s">
        <v>217</v>
      </c>
      <c r="D106" s="48"/>
      <c r="E106" s="52" t="s">
        <v>175</v>
      </c>
      <c r="F106" s="52" t="s">
        <v>7</v>
      </c>
      <c r="G106" s="52" t="s">
        <v>211</v>
      </c>
      <c r="H106" s="52" t="s">
        <v>212</v>
      </c>
      <c r="I106" s="52">
        <v>17000</v>
      </c>
      <c r="J106" s="54">
        <v>1000</v>
      </c>
      <c r="K106" s="52"/>
      <c r="L106" s="55">
        <v>5.8823529411764705E-2</v>
      </c>
      <c r="M106" s="52">
        <v>18000</v>
      </c>
      <c r="N106" s="52" t="s">
        <v>218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s="32" customFormat="1" x14ac:dyDescent="0.25">
      <c r="A107" s="48"/>
      <c r="B107" s="48">
        <v>11282018</v>
      </c>
      <c r="C107" s="48" t="s">
        <v>219</v>
      </c>
      <c r="D107" s="48"/>
      <c r="E107" s="52" t="s">
        <v>175</v>
      </c>
      <c r="F107" s="52" t="s">
        <v>7</v>
      </c>
      <c r="G107" s="52" t="s">
        <v>37</v>
      </c>
      <c r="H107" s="52" t="s">
        <v>21</v>
      </c>
      <c r="I107" s="52">
        <v>42000</v>
      </c>
      <c r="J107" s="54">
        <v>0</v>
      </c>
      <c r="K107" s="52"/>
      <c r="L107" s="55">
        <v>0</v>
      </c>
      <c r="M107" s="52">
        <v>42000</v>
      </c>
      <c r="N107" s="5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s="32" customFormat="1" x14ac:dyDescent="0.25">
      <c r="A108" s="48"/>
      <c r="B108" s="48">
        <v>21452019</v>
      </c>
      <c r="C108" s="48" t="s">
        <v>220</v>
      </c>
      <c r="D108" s="48"/>
      <c r="E108" s="52" t="s">
        <v>175</v>
      </c>
      <c r="F108" s="52" t="s">
        <v>7</v>
      </c>
      <c r="G108" s="52" t="s">
        <v>37</v>
      </c>
      <c r="H108" s="52" t="s">
        <v>221</v>
      </c>
      <c r="I108" s="52">
        <v>14000</v>
      </c>
      <c r="J108" s="54">
        <v>2000</v>
      </c>
      <c r="K108" s="52"/>
      <c r="L108" s="55">
        <v>0.14285714285714285</v>
      </c>
      <c r="M108" s="52">
        <v>16000</v>
      </c>
      <c r="N108" s="5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s="32" customFormat="1" x14ac:dyDescent="0.25">
      <c r="A109" s="48"/>
      <c r="B109" s="48">
        <v>21472019</v>
      </c>
      <c r="C109" s="48" t="s">
        <v>222</v>
      </c>
      <c r="D109" s="48"/>
      <c r="E109" s="52" t="s">
        <v>175</v>
      </c>
      <c r="F109" s="52" t="s">
        <v>7</v>
      </c>
      <c r="G109" s="52" t="s">
        <v>32</v>
      </c>
      <c r="H109" s="52" t="s">
        <v>5</v>
      </c>
      <c r="I109" s="52">
        <v>35000</v>
      </c>
      <c r="J109" s="54">
        <v>0</v>
      </c>
      <c r="K109" s="52"/>
      <c r="L109" s="55">
        <v>0</v>
      </c>
      <c r="M109" s="52">
        <v>35000</v>
      </c>
      <c r="N109" s="5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s="32" customFormat="1" x14ac:dyDescent="0.25">
      <c r="A110" s="48"/>
      <c r="B110" s="48">
        <v>11302019</v>
      </c>
      <c r="C110" s="48" t="s">
        <v>223</v>
      </c>
      <c r="D110" s="48"/>
      <c r="E110" s="52" t="s">
        <v>175</v>
      </c>
      <c r="F110" s="52" t="s">
        <v>7</v>
      </c>
      <c r="G110" s="52" t="s">
        <v>131</v>
      </c>
      <c r="H110" s="52" t="s">
        <v>3</v>
      </c>
      <c r="I110" s="52">
        <v>35000</v>
      </c>
      <c r="J110" s="54">
        <v>4000</v>
      </c>
      <c r="K110" s="52"/>
      <c r="L110" s="55">
        <v>0.11428571428571428</v>
      </c>
      <c r="M110" s="52">
        <v>39000</v>
      </c>
      <c r="N110" s="5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s="32" customFormat="1" x14ac:dyDescent="0.25">
      <c r="A111" s="48"/>
      <c r="B111" s="48">
        <v>21462019</v>
      </c>
      <c r="C111" s="48" t="s">
        <v>224</v>
      </c>
      <c r="D111" s="48"/>
      <c r="E111" s="52" t="s">
        <v>175</v>
      </c>
      <c r="F111" s="52" t="s">
        <v>7</v>
      </c>
      <c r="G111" s="52" t="s">
        <v>138</v>
      </c>
      <c r="H111" s="52" t="s">
        <v>4</v>
      </c>
      <c r="I111" s="52">
        <v>40000</v>
      </c>
      <c r="J111" s="54">
        <v>2000</v>
      </c>
      <c r="K111" s="52"/>
      <c r="L111" s="55">
        <v>0.05</v>
      </c>
      <c r="M111" s="52">
        <v>42000</v>
      </c>
      <c r="N111" s="5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s="32" customFormat="1" x14ac:dyDescent="0.25">
      <c r="A112" s="48"/>
      <c r="B112" s="48">
        <v>21442018</v>
      </c>
      <c r="C112" s="48" t="s">
        <v>225</v>
      </c>
      <c r="D112" s="48"/>
      <c r="E112" s="52" t="s">
        <v>175</v>
      </c>
      <c r="F112" s="52" t="s">
        <v>7</v>
      </c>
      <c r="G112" s="52" t="s">
        <v>20</v>
      </c>
      <c r="H112" s="52" t="s">
        <v>28</v>
      </c>
      <c r="I112" s="52">
        <v>10000</v>
      </c>
      <c r="J112" s="54">
        <v>0</v>
      </c>
      <c r="K112" s="52"/>
      <c r="L112" s="55">
        <v>0</v>
      </c>
      <c r="M112" s="52">
        <v>10000</v>
      </c>
      <c r="N112" s="5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48"/>
      <c r="B113" s="48">
        <v>21642019</v>
      </c>
      <c r="C113" s="48" t="s">
        <v>365</v>
      </c>
      <c r="D113" s="48"/>
      <c r="E113" s="52" t="s">
        <v>175</v>
      </c>
      <c r="F113" s="52" t="s">
        <v>7</v>
      </c>
      <c r="G113" s="52" t="s">
        <v>211</v>
      </c>
      <c r="H113" s="52" t="s">
        <v>212</v>
      </c>
      <c r="I113" s="52">
        <v>18000</v>
      </c>
      <c r="J113" s="54">
        <v>1000</v>
      </c>
      <c r="K113" s="52"/>
      <c r="L113" s="55">
        <v>5.5555555555555552E-2</v>
      </c>
      <c r="M113" s="52">
        <v>19000</v>
      </c>
      <c r="N113" s="52" t="s">
        <v>285</v>
      </c>
    </row>
    <row r="114" spans="1:34" x14ac:dyDescent="0.25">
      <c r="A114" s="48"/>
      <c r="B114" s="48">
        <v>21562019</v>
      </c>
      <c r="C114" s="48" t="s">
        <v>366</v>
      </c>
      <c r="D114" s="48"/>
      <c r="E114" s="52" t="s">
        <v>175</v>
      </c>
      <c r="F114" s="52" t="s">
        <v>7</v>
      </c>
      <c r="G114" s="52" t="s">
        <v>211</v>
      </c>
      <c r="H114" s="52" t="s">
        <v>212</v>
      </c>
      <c r="I114" s="52">
        <v>18000</v>
      </c>
      <c r="J114" s="54">
        <v>1000</v>
      </c>
      <c r="K114" s="52"/>
      <c r="L114" s="55">
        <v>5.5555555555555552E-2</v>
      </c>
      <c r="M114" s="52">
        <v>19000</v>
      </c>
      <c r="N114" s="52" t="s">
        <v>285</v>
      </c>
    </row>
    <row r="115" spans="1:34" x14ac:dyDescent="0.25">
      <c r="A115" s="48"/>
      <c r="B115" s="48">
        <v>21622019</v>
      </c>
      <c r="C115" s="48" t="s">
        <v>367</v>
      </c>
      <c r="D115" s="48"/>
      <c r="E115" s="52" t="s">
        <v>175</v>
      </c>
      <c r="F115" s="52" t="s">
        <v>7</v>
      </c>
      <c r="G115" s="52" t="s">
        <v>211</v>
      </c>
      <c r="H115" s="52" t="s">
        <v>212</v>
      </c>
      <c r="I115" s="52">
        <v>18000</v>
      </c>
      <c r="J115" s="54">
        <v>1000</v>
      </c>
      <c r="K115" s="52"/>
      <c r="L115" s="55">
        <v>5.5555555555555552E-2</v>
      </c>
      <c r="M115" s="52">
        <v>19000</v>
      </c>
      <c r="N115" s="52" t="s">
        <v>285</v>
      </c>
    </row>
    <row r="116" spans="1:34" x14ac:dyDescent="0.25">
      <c r="A116" s="48"/>
      <c r="B116" s="48">
        <v>21632019</v>
      </c>
      <c r="C116" s="48" t="s">
        <v>368</v>
      </c>
      <c r="D116" s="48"/>
      <c r="E116" s="52" t="s">
        <v>175</v>
      </c>
      <c r="F116" s="52" t="s">
        <v>7</v>
      </c>
      <c r="G116" s="52" t="s">
        <v>211</v>
      </c>
      <c r="H116" s="52" t="s">
        <v>212</v>
      </c>
      <c r="I116" s="52">
        <v>18000</v>
      </c>
      <c r="J116" s="54">
        <v>1000</v>
      </c>
      <c r="K116" s="52"/>
      <c r="L116" s="55">
        <v>5.5555555555555552E-2</v>
      </c>
      <c r="M116" s="52">
        <v>19000</v>
      </c>
      <c r="N116" s="52" t="s">
        <v>285</v>
      </c>
    </row>
    <row r="117" spans="1:34" x14ac:dyDescent="0.25">
      <c r="A117" s="48"/>
      <c r="B117" s="48">
        <v>21682019</v>
      </c>
      <c r="C117" s="48" t="s">
        <v>369</v>
      </c>
      <c r="D117" s="48"/>
      <c r="E117" s="52" t="s">
        <v>175</v>
      </c>
      <c r="F117" s="52" t="s">
        <v>7</v>
      </c>
      <c r="G117" s="52" t="s">
        <v>211</v>
      </c>
      <c r="H117" s="52" t="s">
        <v>212</v>
      </c>
      <c r="I117" s="52">
        <v>18000</v>
      </c>
      <c r="J117" s="54">
        <v>1000</v>
      </c>
      <c r="K117" s="52"/>
      <c r="L117" s="55">
        <v>5.5555555555555552E-2</v>
      </c>
      <c r="M117" s="52">
        <v>19000</v>
      </c>
      <c r="N117" s="52" t="s">
        <v>285</v>
      </c>
    </row>
    <row r="118" spans="1:34" x14ac:dyDescent="0.25">
      <c r="A118" s="48"/>
      <c r="B118" s="48">
        <v>21532019</v>
      </c>
      <c r="C118" s="48" t="s">
        <v>370</v>
      </c>
      <c r="D118" s="48"/>
      <c r="E118" s="52" t="s">
        <v>175</v>
      </c>
      <c r="F118" s="52" t="s">
        <v>7</v>
      </c>
      <c r="G118" s="52" t="s">
        <v>211</v>
      </c>
      <c r="H118" s="52" t="s">
        <v>212</v>
      </c>
      <c r="I118" s="52">
        <v>17000</v>
      </c>
      <c r="J118" s="54">
        <v>1000</v>
      </c>
      <c r="K118" s="52"/>
      <c r="L118" s="55">
        <v>5.8823529411764705E-2</v>
      </c>
      <c r="M118" s="52">
        <v>18000</v>
      </c>
      <c r="N118" s="52" t="s">
        <v>287</v>
      </c>
    </row>
    <row r="119" spans="1:34" x14ac:dyDescent="0.25">
      <c r="A119" s="48"/>
      <c r="B119" s="48">
        <v>21732020</v>
      </c>
      <c r="C119" s="48" t="s">
        <v>373</v>
      </c>
      <c r="D119" s="48"/>
      <c r="E119" s="52" t="s">
        <v>175</v>
      </c>
      <c r="F119" s="52" t="s">
        <v>7</v>
      </c>
      <c r="G119" s="52" t="s">
        <v>211</v>
      </c>
      <c r="H119" s="52" t="s">
        <v>212</v>
      </c>
      <c r="I119" s="52">
        <v>17000</v>
      </c>
      <c r="J119" s="54">
        <v>0</v>
      </c>
      <c r="K119" s="52"/>
      <c r="L119" s="67"/>
      <c r="M119" s="52">
        <v>17000</v>
      </c>
      <c r="N119" s="52" t="s">
        <v>288</v>
      </c>
    </row>
    <row r="120" spans="1:34" x14ac:dyDescent="0.25">
      <c r="A120" s="48"/>
      <c r="B120" s="48"/>
      <c r="C120" s="48"/>
      <c r="D120" s="48"/>
      <c r="E120" s="52"/>
      <c r="F120" s="52"/>
      <c r="G120" s="52"/>
      <c r="H120" s="52"/>
      <c r="I120" s="52"/>
      <c r="J120" s="54"/>
      <c r="K120" s="52"/>
      <c r="L120" s="67"/>
      <c r="M120" s="52"/>
      <c r="N120" s="52"/>
    </row>
    <row r="121" spans="1:34" x14ac:dyDescent="0.25">
      <c r="A121" s="48"/>
      <c r="B121" s="48">
        <v>10582015</v>
      </c>
      <c r="C121" s="48" t="s">
        <v>110</v>
      </c>
      <c r="D121" s="48"/>
      <c r="E121" s="52" t="s">
        <v>175</v>
      </c>
      <c r="F121" s="52" t="s">
        <v>201</v>
      </c>
      <c r="G121" s="52" t="s">
        <v>20</v>
      </c>
      <c r="H121" s="52" t="s">
        <v>27</v>
      </c>
      <c r="I121" s="52">
        <v>11000</v>
      </c>
      <c r="J121" s="54">
        <v>3000</v>
      </c>
      <c r="K121" s="52"/>
      <c r="L121" s="55">
        <v>0.27272727272727271</v>
      </c>
      <c r="M121" s="52">
        <v>14000</v>
      </c>
      <c r="N121" s="52"/>
      <c r="Q121" s="1" t="s">
        <v>380</v>
      </c>
      <c r="R121" s="1" t="s">
        <v>384</v>
      </c>
      <c r="S121" s="1" t="s">
        <v>381</v>
      </c>
      <c r="T121" s="1" t="s">
        <v>382</v>
      </c>
      <c r="U121" s="1" t="s">
        <v>383</v>
      </c>
    </row>
    <row r="122" spans="1:34" x14ac:dyDescent="0.25">
      <c r="A122" s="48"/>
      <c r="B122" s="48">
        <v>20792016</v>
      </c>
      <c r="C122" s="48" t="s">
        <v>111</v>
      </c>
      <c r="D122" s="48"/>
      <c r="E122" s="52" t="s">
        <v>175</v>
      </c>
      <c r="F122" s="52" t="s">
        <v>201</v>
      </c>
      <c r="G122" s="52" t="s">
        <v>20</v>
      </c>
      <c r="H122" s="52" t="s">
        <v>27</v>
      </c>
      <c r="I122" s="52">
        <v>11000</v>
      </c>
      <c r="J122" s="54">
        <v>3000</v>
      </c>
      <c r="K122" s="52"/>
      <c r="L122" s="55">
        <v>0.27272727272727271</v>
      </c>
      <c r="M122" s="52">
        <v>14000</v>
      </c>
      <c r="N122" s="52"/>
      <c r="P122" s="1" t="s">
        <v>238</v>
      </c>
      <c r="Q122" s="2">
        <f ca="1">SUMIF(G121:N161,P122,J121:J161)</f>
        <v>40000</v>
      </c>
      <c r="R122" s="42">
        <f>COUNTIF(G121:G161,P122)</f>
        <v>7</v>
      </c>
      <c r="S122" s="65">
        <f ca="1">AVERAGEIF(G121:M161,P122,L121:L161)</f>
        <v>0.20122655122655123</v>
      </c>
      <c r="T122" s="2">
        <v>1533000</v>
      </c>
      <c r="U122" s="65">
        <f t="shared" ref="U122:U132" ca="1" si="0">Q122/T122</f>
        <v>2.6092628832354858E-2</v>
      </c>
    </row>
    <row r="123" spans="1:34" x14ac:dyDescent="0.25">
      <c r="A123" s="48"/>
      <c r="B123" s="48">
        <v>21122017</v>
      </c>
      <c r="C123" s="48" t="s">
        <v>114</v>
      </c>
      <c r="D123" s="48"/>
      <c r="E123" s="52" t="s">
        <v>175</v>
      </c>
      <c r="F123" s="52" t="s">
        <v>201</v>
      </c>
      <c r="G123" s="52" t="s">
        <v>20</v>
      </c>
      <c r="H123" s="52" t="s">
        <v>27</v>
      </c>
      <c r="I123" s="52">
        <v>11000</v>
      </c>
      <c r="J123" s="54">
        <v>3000</v>
      </c>
      <c r="K123" s="52"/>
      <c r="L123" s="55">
        <v>0.27272727272727271</v>
      </c>
      <c r="M123" s="52">
        <v>14000</v>
      </c>
      <c r="N123" s="52"/>
      <c r="P123" s="1" t="s">
        <v>36</v>
      </c>
      <c r="Q123" s="2">
        <f ca="1">SUMIF(G121:N161,P123,J121:J161)</f>
        <v>41000</v>
      </c>
      <c r="R123" s="42">
        <f>COUNTIF(G121:G161,P123)</f>
        <v>6</v>
      </c>
      <c r="S123" s="65">
        <f ca="1">AVERAGEIF(G121:M161,P123,L121:L161)</f>
        <v>0.26227106227106228</v>
      </c>
      <c r="T123" s="2">
        <v>432000</v>
      </c>
      <c r="U123" s="65">
        <f t="shared" ca="1" si="0"/>
        <v>9.4907407407407413E-2</v>
      </c>
    </row>
    <row r="124" spans="1:34" x14ac:dyDescent="0.25">
      <c r="A124" s="48"/>
      <c r="B124" s="48">
        <v>30532016</v>
      </c>
      <c r="C124" s="48" t="s">
        <v>200</v>
      </c>
      <c r="D124" s="48"/>
      <c r="E124" s="52" t="s">
        <v>175</v>
      </c>
      <c r="F124" s="52" t="s">
        <v>201</v>
      </c>
      <c r="G124" s="52" t="s">
        <v>20</v>
      </c>
      <c r="H124" s="52" t="s">
        <v>6</v>
      </c>
      <c r="I124" s="52">
        <v>23000</v>
      </c>
      <c r="J124" s="54">
        <v>3000</v>
      </c>
      <c r="K124" s="52"/>
      <c r="L124" s="55">
        <v>0.13043478260869565</v>
      </c>
      <c r="M124" s="52">
        <v>26000</v>
      </c>
      <c r="N124" s="52"/>
      <c r="P124" s="1" t="s">
        <v>37</v>
      </c>
      <c r="Q124" s="2">
        <f ca="1">SUMIF(G121:N161,P124,J121:J161)</f>
        <v>8000</v>
      </c>
      <c r="R124" s="42">
        <f>COUNTIF(G121:G161,P124)</f>
        <v>2</v>
      </c>
      <c r="S124" s="65">
        <f ca="1">AVERAGEIF(G121:M161,P124,L121:L161)</f>
        <v>0.10535714285714286</v>
      </c>
      <c r="T124" s="2">
        <v>278000</v>
      </c>
      <c r="U124" s="65">
        <f t="shared" ca="1" si="0"/>
        <v>2.8776978417266189E-2</v>
      </c>
    </row>
    <row r="125" spans="1:34" x14ac:dyDescent="0.25">
      <c r="A125" s="48"/>
      <c r="B125" s="48">
        <v>40472018</v>
      </c>
      <c r="C125" s="48" t="s">
        <v>242</v>
      </c>
      <c r="D125" s="48"/>
      <c r="E125" s="52" t="s">
        <v>175</v>
      </c>
      <c r="F125" s="52" t="s">
        <v>201</v>
      </c>
      <c r="G125" s="52" t="s">
        <v>20</v>
      </c>
      <c r="H125" s="52" t="s">
        <v>27</v>
      </c>
      <c r="I125" s="52">
        <v>11000</v>
      </c>
      <c r="J125" s="54">
        <v>3000</v>
      </c>
      <c r="K125" s="52"/>
      <c r="L125" s="55">
        <v>0.27272727272727271</v>
      </c>
      <c r="M125" s="52">
        <v>14000</v>
      </c>
      <c r="N125" s="52"/>
      <c r="P125" s="1" t="s">
        <v>32</v>
      </c>
      <c r="Q125" s="2">
        <f ca="1">SUMIF(G121:N161,P125,J121:J161)</f>
        <v>29000</v>
      </c>
      <c r="R125" s="42">
        <f>COUNTIF(G121:G161,P125)</f>
        <v>6</v>
      </c>
      <c r="S125" s="65">
        <f ca="1">AVERAGEIF(G121:M161,P125,L121:L161)</f>
        <v>0.17766695266695268</v>
      </c>
      <c r="T125" s="2">
        <v>205000</v>
      </c>
      <c r="U125" s="65">
        <f t="shared" ca="1" si="0"/>
        <v>0.14146341463414633</v>
      </c>
    </row>
    <row r="126" spans="1:34" x14ac:dyDescent="0.25">
      <c r="A126" s="48"/>
      <c r="B126" s="48">
        <v>40332018</v>
      </c>
      <c r="C126" s="48" t="s">
        <v>302</v>
      </c>
      <c r="D126" s="48"/>
      <c r="E126" s="52" t="s">
        <v>175</v>
      </c>
      <c r="F126" s="52" t="s">
        <v>201</v>
      </c>
      <c r="G126" s="52" t="s">
        <v>20</v>
      </c>
      <c r="H126" s="52" t="s">
        <v>29</v>
      </c>
      <c r="I126" s="52">
        <v>12000</v>
      </c>
      <c r="J126" s="54">
        <v>3000</v>
      </c>
      <c r="K126" s="52"/>
      <c r="L126" s="55">
        <v>0.25</v>
      </c>
      <c r="M126" s="52">
        <v>15000</v>
      </c>
      <c r="N126" s="52"/>
      <c r="P126" s="1" t="s">
        <v>19</v>
      </c>
      <c r="Q126" s="2">
        <f ca="1">SUMIF(G121:N161,P126,J121:J161)</f>
        <v>40000</v>
      </c>
      <c r="R126" s="42">
        <f>COUNTIF(G121:G161,P126)</f>
        <v>10</v>
      </c>
      <c r="S126" s="65">
        <f ca="1">AVERAGEIF(G121:M161,P126,L121:L161)</f>
        <v>0.21089032035965699</v>
      </c>
      <c r="T126" s="1">
        <v>296000</v>
      </c>
      <c r="U126" s="65">
        <f t="shared" ca="1" si="0"/>
        <v>0.13513513513513514</v>
      </c>
    </row>
    <row r="127" spans="1:34" x14ac:dyDescent="0.25">
      <c r="A127" s="48"/>
      <c r="B127" s="48">
        <v>40352018</v>
      </c>
      <c r="C127" s="48" t="s">
        <v>230</v>
      </c>
      <c r="D127" s="48"/>
      <c r="E127" s="52" t="s">
        <v>175</v>
      </c>
      <c r="F127" s="52" t="s">
        <v>201</v>
      </c>
      <c r="G127" s="52" t="s">
        <v>37</v>
      </c>
      <c r="H127" s="52" t="s">
        <v>5</v>
      </c>
      <c r="I127" s="52">
        <v>35000</v>
      </c>
      <c r="J127" s="54">
        <v>3000</v>
      </c>
      <c r="K127" s="52"/>
      <c r="L127" s="55">
        <v>8.5714285714285715E-2</v>
      </c>
      <c r="M127" s="52">
        <v>38000</v>
      </c>
      <c r="N127" s="52"/>
      <c r="P127" s="1" t="s">
        <v>138</v>
      </c>
      <c r="Q127" s="2">
        <f ca="1">SUMIF(G121:N161,P127,J121:J161)</f>
        <v>14000</v>
      </c>
      <c r="R127" s="42">
        <f>COUNTIF(G121:G161,P127)</f>
        <v>3</v>
      </c>
      <c r="S127" s="65">
        <f ca="1">AVERAGEIF(G121:M161,P127,L121:L161)</f>
        <v>0.17222222222222219</v>
      </c>
      <c r="T127" s="1">
        <v>98000</v>
      </c>
      <c r="U127" s="65">
        <f t="shared" ca="1" si="0"/>
        <v>0.14285714285714285</v>
      </c>
    </row>
    <row r="128" spans="1:34" s="32" customFormat="1" x14ac:dyDescent="0.25">
      <c r="A128" s="48"/>
      <c r="B128" s="48">
        <v>20812016</v>
      </c>
      <c r="C128" s="48" t="s">
        <v>125</v>
      </c>
      <c r="D128" s="48"/>
      <c r="E128" s="52" t="s">
        <v>175</v>
      </c>
      <c r="F128" s="52" t="s">
        <v>201</v>
      </c>
      <c r="G128" s="52" t="s">
        <v>37</v>
      </c>
      <c r="H128" s="52" t="s">
        <v>3</v>
      </c>
      <c r="I128" s="52">
        <v>40000</v>
      </c>
      <c r="J128" s="54">
        <v>5000</v>
      </c>
      <c r="K128" s="52"/>
      <c r="L128" s="55">
        <v>0.125</v>
      </c>
      <c r="M128" s="52">
        <v>45000</v>
      </c>
      <c r="N128" s="52"/>
      <c r="O128" s="1"/>
      <c r="P128" s="1" t="s">
        <v>258</v>
      </c>
      <c r="Q128" s="2"/>
      <c r="R128" s="42"/>
      <c r="S128" s="65"/>
      <c r="T128" s="1"/>
      <c r="U128" s="65">
        <v>0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48"/>
      <c r="B129" s="48">
        <v>10092005</v>
      </c>
      <c r="C129" s="48" t="s">
        <v>76</v>
      </c>
      <c r="D129" s="48"/>
      <c r="E129" s="52" t="s">
        <v>175</v>
      </c>
      <c r="F129" s="52" t="s">
        <v>201</v>
      </c>
      <c r="G129" s="52" t="s">
        <v>19</v>
      </c>
      <c r="H129" s="52" t="s">
        <v>4</v>
      </c>
      <c r="I129" s="52">
        <v>47000</v>
      </c>
      <c r="J129" s="54">
        <v>5000</v>
      </c>
      <c r="K129" s="52"/>
      <c r="L129" s="55">
        <v>0.10638297872340426</v>
      </c>
      <c r="M129" s="52">
        <v>52000</v>
      </c>
      <c r="N129" s="52"/>
      <c r="P129" s="1" t="s">
        <v>266</v>
      </c>
      <c r="Q129" s="2"/>
      <c r="R129" s="42"/>
      <c r="S129" s="65"/>
      <c r="T129" s="1">
        <v>190000</v>
      </c>
      <c r="U129" s="65">
        <f t="shared" si="0"/>
        <v>0</v>
      </c>
    </row>
    <row r="130" spans="1:34" x14ac:dyDescent="0.25">
      <c r="A130" s="48"/>
      <c r="B130" s="48">
        <v>20152010</v>
      </c>
      <c r="C130" s="48" t="s">
        <v>83</v>
      </c>
      <c r="D130" s="48"/>
      <c r="E130" s="52" t="s">
        <v>175</v>
      </c>
      <c r="F130" s="52" t="s">
        <v>201</v>
      </c>
      <c r="G130" s="52" t="s">
        <v>19</v>
      </c>
      <c r="H130" s="52" t="s">
        <v>3</v>
      </c>
      <c r="I130" s="52">
        <v>25000</v>
      </c>
      <c r="J130" s="54">
        <v>4000</v>
      </c>
      <c r="K130" s="52"/>
      <c r="L130" s="55">
        <v>0.16</v>
      </c>
      <c r="M130" s="52">
        <v>29000</v>
      </c>
      <c r="N130" s="52"/>
      <c r="P130" s="1" t="s">
        <v>245</v>
      </c>
      <c r="Q130" s="2">
        <f ca="1">SUMIF(G121:N161,P130,J121:J161)</f>
        <v>0</v>
      </c>
      <c r="R130" s="42">
        <f>COUNTIF(G121:G161,P130)</f>
        <v>1</v>
      </c>
      <c r="S130" s="65">
        <v>0</v>
      </c>
      <c r="T130" s="1">
        <v>150000</v>
      </c>
      <c r="U130" s="65">
        <f t="shared" ca="1" si="0"/>
        <v>0</v>
      </c>
    </row>
    <row r="131" spans="1:34" x14ac:dyDescent="0.25">
      <c r="A131" s="48"/>
      <c r="B131" s="48">
        <v>21182018</v>
      </c>
      <c r="C131" s="48" t="s">
        <v>88</v>
      </c>
      <c r="D131" s="48"/>
      <c r="E131" s="52" t="s">
        <v>175</v>
      </c>
      <c r="F131" s="52" t="s">
        <v>201</v>
      </c>
      <c r="G131" s="52" t="s">
        <v>19</v>
      </c>
      <c r="H131" s="52" t="s">
        <v>3</v>
      </c>
      <c r="I131" s="52">
        <v>17000</v>
      </c>
      <c r="J131" s="54">
        <v>4000</v>
      </c>
      <c r="K131" s="52"/>
      <c r="L131" s="55">
        <v>0.23529411764705882</v>
      </c>
      <c r="M131" s="52">
        <v>21000</v>
      </c>
      <c r="N131" s="52"/>
      <c r="P131" s="1" t="s">
        <v>146</v>
      </c>
      <c r="Q131" s="2"/>
      <c r="R131" s="42"/>
      <c r="S131" s="65"/>
      <c r="U131" s="65">
        <v>0</v>
      </c>
    </row>
    <row r="132" spans="1:34" s="32" customFormat="1" x14ac:dyDescent="0.25">
      <c r="A132" s="48"/>
      <c r="B132" s="48">
        <v>20102008</v>
      </c>
      <c r="C132" s="48" t="s">
        <v>90</v>
      </c>
      <c r="D132" s="48"/>
      <c r="E132" s="52" t="s">
        <v>175</v>
      </c>
      <c r="F132" s="52" t="s">
        <v>201</v>
      </c>
      <c r="G132" s="52" t="s">
        <v>19</v>
      </c>
      <c r="H132" s="52" t="s">
        <v>139</v>
      </c>
      <c r="I132" s="52">
        <v>60000</v>
      </c>
      <c r="J132" s="54">
        <v>5000</v>
      </c>
      <c r="K132" s="52"/>
      <c r="L132" s="55">
        <v>8.3333333333333329E-2</v>
      </c>
      <c r="M132" s="52">
        <v>65000</v>
      </c>
      <c r="N132" s="52"/>
      <c r="O132" s="1"/>
      <c r="P132" s="1" t="s">
        <v>20</v>
      </c>
      <c r="Q132" s="2">
        <f ca="1">SUMIF(G121:N161,P132,J121:J161)</f>
        <v>18000</v>
      </c>
      <c r="R132" s="70">
        <f>COUNTIF(G121:G161,P132)</f>
        <v>6</v>
      </c>
      <c r="S132" s="65">
        <f ca="1">AVERAGEIF(G121:M161,P132,L121:L161)</f>
        <v>0.2452239789196311</v>
      </c>
      <c r="T132" s="1">
        <v>97000</v>
      </c>
      <c r="U132" s="65">
        <f t="shared" ca="1" si="0"/>
        <v>0.18556701030927836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s="32" customFormat="1" x14ac:dyDescent="0.25">
      <c r="A133" s="48"/>
      <c r="B133" s="48">
        <v>10122006</v>
      </c>
      <c r="C133" s="48" t="s">
        <v>155</v>
      </c>
      <c r="D133" s="48"/>
      <c r="E133" s="52" t="s">
        <v>175</v>
      </c>
      <c r="F133" s="52" t="s">
        <v>201</v>
      </c>
      <c r="G133" s="52" t="s">
        <v>19</v>
      </c>
      <c r="H133" s="52" t="s">
        <v>3</v>
      </c>
      <c r="I133" s="52">
        <v>39000</v>
      </c>
      <c r="J133" s="54">
        <v>3000</v>
      </c>
      <c r="K133" s="52"/>
      <c r="L133" s="55">
        <v>7.6923076923076927E-2</v>
      </c>
      <c r="M133" s="52">
        <v>42000</v>
      </c>
      <c r="N133" s="52"/>
      <c r="O133" s="1"/>
      <c r="P133" s="1"/>
      <c r="Q133" s="66">
        <f ca="1">SUM(Q122:Q132)</f>
        <v>190000</v>
      </c>
      <c r="R133" s="71">
        <f>SUM(R122:R132)</f>
        <v>41</v>
      </c>
      <c r="S133" s="64">
        <f ca="1">AVERAGE(S122:S132)</f>
        <v>0.17185727881540241</v>
      </c>
      <c r="T133" s="66">
        <f>SUM(T122:T132)</f>
        <v>3279000</v>
      </c>
      <c r="U133" s="64"/>
      <c r="V133" s="64">
        <f ca="1">AVERAGE(U122:U132)</f>
        <v>6.8618156144793732E-2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s="32" customFormat="1" x14ac:dyDescent="0.25">
      <c r="A134" s="48"/>
      <c r="B134" s="48">
        <v>40322018</v>
      </c>
      <c r="C134" s="48" t="s">
        <v>234</v>
      </c>
      <c r="D134" s="48"/>
      <c r="E134" s="52" t="s">
        <v>175</v>
      </c>
      <c r="F134" s="52" t="s">
        <v>201</v>
      </c>
      <c r="G134" s="52" t="s">
        <v>19</v>
      </c>
      <c r="H134" s="52" t="s">
        <v>27</v>
      </c>
      <c r="I134" s="52">
        <v>11000</v>
      </c>
      <c r="J134" s="54">
        <v>4000</v>
      </c>
      <c r="K134" s="52"/>
      <c r="L134" s="55">
        <v>0.36363636363636365</v>
      </c>
      <c r="M134" s="52">
        <v>15000</v>
      </c>
      <c r="N134" s="52"/>
      <c r="O134" s="1"/>
      <c r="P134" s="1"/>
      <c r="Q134" s="63">
        <f ca="1">Q133/R133</f>
        <v>4634.1463414634145</v>
      </c>
      <c r="R134" s="69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s="32" customFormat="1" x14ac:dyDescent="0.25">
      <c r="A135" s="48"/>
      <c r="B135" s="48">
        <v>21402018</v>
      </c>
      <c r="C135" s="48" t="s">
        <v>235</v>
      </c>
      <c r="D135" s="48"/>
      <c r="E135" s="52" t="s">
        <v>175</v>
      </c>
      <c r="F135" s="52" t="s">
        <v>201</v>
      </c>
      <c r="G135" s="52" t="s">
        <v>19</v>
      </c>
      <c r="H135" s="52" t="s">
        <v>8</v>
      </c>
      <c r="I135" s="52">
        <v>15000</v>
      </c>
      <c r="J135" s="54">
        <v>5000</v>
      </c>
      <c r="K135" s="52"/>
      <c r="L135" s="55">
        <v>0.33333333333333331</v>
      </c>
      <c r="M135" s="52">
        <v>20000</v>
      </c>
      <c r="N135" s="52"/>
      <c r="O135" s="1"/>
      <c r="P135" s="1" t="s">
        <v>394</v>
      </c>
      <c r="Q135" s="2">
        <v>3279000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s="32" customFormat="1" x14ac:dyDescent="0.25">
      <c r="A136" s="48"/>
      <c r="B136" s="48">
        <v>40442018</v>
      </c>
      <c r="C136" s="48" t="s">
        <v>236</v>
      </c>
      <c r="D136" s="48"/>
      <c r="E136" s="52" t="s">
        <v>175</v>
      </c>
      <c r="F136" s="52" t="s">
        <v>201</v>
      </c>
      <c r="G136" s="52" t="s">
        <v>19</v>
      </c>
      <c r="H136" s="52" t="s">
        <v>8</v>
      </c>
      <c r="I136" s="52">
        <v>15000</v>
      </c>
      <c r="J136" s="54">
        <v>5000</v>
      </c>
      <c r="K136" s="52"/>
      <c r="L136" s="55">
        <v>0.33333333333333331</v>
      </c>
      <c r="M136" s="52">
        <v>20000</v>
      </c>
      <c r="N136" s="52"/>
      <c r="O136" s="1"/>
      <c r="P136" s="1" t="s">
        <v>395</v>
      </c>
      <c r="Q136" s="65">
        <f ca="1">Q133/Q135</f>
        <v>5.7944495272949072E-2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s="32" customFormat="1" x14ac:dyDescent="0.25">
      <c r="A137" s="48"/>
      <c r="B137" s="48">
        <v>40622019</v>
      </c>
      <c r="C137" s="48" t="s">
        <v>305</v>
      </c>
      <c r="D137" s="48"/>
      <c r="E137" s="52" t="s">
        <v>175</v>
      </c>
      <c r="F137" s="52" t="s">
        <v>201</v>
      </c>
      <c r="G137" s="52" t="s">
        <v>19</v>
      </c>
      <c r="H137" s="52" t="s">
        <v>8</v>
      </c>
      <c r="I137" s="52">
        <v>12000</v>
      </c>
      <c r="J137" s="54">
        <v>5000</v>
      </c>
      <c r="K137" s="52"/>
      <c r="L137" s="55">
        <v>0.41666666666666669</v>
      </c>
      <c r="M137" s="52">
        <v>17000</v>
      </c>
      <c r="N137" s="5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s="32" customFormat="1" x14ac:dyDescent="0.25">
      <c r="A138" s="48"/>
      <c r="B138" s="48">
        <v>40562019</v>
      </c>
      <c r="C138" s="48" t="s">
        <v>244</v>
      </c>
      <c r="D138" s="48"/>
      <c r="E138" s="52" t="s">
        <v>175</v>
      </c>
      <c r="F138" s="52" t="s">
        <v>201</v>
      </c>
      <c r="G138" s="52" t="s">
        <v>19</v>
      </c>
      <c r="H138" s="52" t="s">
        <v>8</v>
      </c>
      <c r="I138" s="52">
        <v>15000</v>
      </c>
      <c r="J138" s="54">
        <v>0</v>
      </c>
      <c r="K138" s="52"/>
      <c r="L138" s="55">
        <v>0</v>
      </c>
      <c r="M138" s="52">
        <v>15000</v>
      </c>
      <c r="N138" s="5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s="32" customFormat="1" x14ac:dyDescent="0.25">
      <c r="A139" s="48"/>
      <c r="B139" s="48">
        <v>40602019</v>
      </c>
      <c r="C139" s="48" t="s">
        <v>306</v>
      </c>
      <c r="D139" s="48"/>
      <c r="E139" s="52" t="s">
        <v>175</v>
      </c>
      <c r="F139" s="52" t="s">
        <v>201</v>
      </c>
      <c r="G139" s="52" t="s">
        <v>245</v>
      </c>
      <c r="H139" s="52" t="s">
        <v>246</v>
      </c>
      <c r="I139" s="52">
        <v>150000</v>
      </c>
      <c r="J139" s="54">
        <v>0</v>
      </c>
      <c r="K139" s="52"/>
      <c r="L139" s="55">
        <v>0</v>
      </c>
      <c r="M139" s="52">
        <v>150000</v>
      </c>
      <c r="N139" s="5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s="32" customFormat="1" x14ac:dyDescent="0.25">
      <c r="A140" s="48"/>
      <c r="B140" s="48">
        <v>21042017</v>
      </c>
      <c r="C140" s="48" t="s">
        <v>123</v>
      </c>
      <c r="D140" s="48"/>
      <c r="E140" s="52" t="s">
        <v>175</v>
      </c>
      <c r="F140" s="52" t="s">
        <v>201</v>
      </c>
      <c r="G140" s="52" t="s">
        <v>36</v>
      </c>
      <c r="H140" s="52" t="s">
        <v>3</v>
      </c>
      <c r="I140" s="52">
        <v>35000</v>
      </c>
      <c r="J140" s="54">
        <v>5000</v>
      </c>
      <c r="K140" s="52"/>
      <c r="L140" s="55">
        <v>0.14285714285714285</v>
      </c>
      <c r="M140" s="52">
        <v>40000</v>
      </c>
      <c r="N140" s="5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s="32" customFormat="1" x14ac:dyDescent="0.25">
      <c r="A141" s="48" t="s">
        <v>260</v>
      </c>
      <c r="B141" s="48">
        <v>40312017</v>
      </c>
      <c r="C141" s="48" t="s">
        <v>124</v>
      </c>
      <c r="D141" s="48"/>
      <c r="E141" s="52" t="s">
        <v>175</v>
      </c>
      <c r="F141" s="52" t="s">
        <v>201</v>
      </c>
      <c r="G141" s="52" t="s">
        <v>36</v>
      </c>
      <c r="H141" s="52" t="s">
        <v>21</v>
      </c>
      <c r="I141" s="52">
        <v>40000</v>
      </c>
      <c r="J141" s="54">
        <v>5000</v>
      </c>
      <c r="K141" s="52"/>
      <c r="L141" s="55">
        <v>0.125</v>
      </c>
      <c r="M141" s="52">
        <v>45000</v>
      </c>
      <c r="N141" s="5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s="32" customFormat="1" x14ac:dyDescent="0.25">
      <c r="A142" s="48"/>
      <c r="B142" s="48">
        <v>40512018</v>
      </c>
      <c r="C142" s="48" t="s">
        <v>226</v>
      </c>
      <c r="D142" s="48"/>
      <c r="E142" s="52" t="s">
        <v>175</v>
      </c>
      <c r="F142" s="52" t="s">
        <v>201</v>
      </c>
      <c r="G142" s="52" t="s">
        <v>36</v>
      </c>
      <c r="H142" s="52" t="s">
        <v>5</v>
      </c>
      <c r="I142" s="52">
        <v>25000</v>
      </c>
      <c r="J142" s="54">
        <v>5000</v>
      </c>
      <c r="K142" s="52"/>
      <c r="L142" s="55">
        <v>0.2</v>
      </c>
      <c r="M142" s="52">
        <v>30000</v>
      </c>
      <c r="N142" s="5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s="32" customFormat="1" x14ac:dyDescent="0.25">
      <c r="A143" s="48"/>
      <c r="B143" s="48">
        <v>40452018</v>
      </c>
      <c r="C143" s="48" t="s">
        <v>227</v>
      </c>
      <c r="D143" s="48"/>
      <c r="E143" s="52" t="s">
        <v>175</v>
      </c>
      <c r="F143" s="52" t="s">
        <v>201</v>
      </c>
      <c r="G143" s="52" t="s">
        <v>36</v>
      </c>
      <c r="H143" s="52" t="s">
        <v>8</v>
      </c>
      <c r="I143" s="52">
        <v>16000</v>
      </c>
      <c r="J143" s="54">
        <v>6000</v>
      </c>
      <c r="K143" s="52"/>
      <c r="L143" s="55">
        <v>0.375</v>
      </c>
      <c r="M143" s="52">
        <v>22000</v>
      </c>
      <c r="N143" s="5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s="32" customFormat="1" x14ac:dyDescent="0.25">
      <c r="A144" s="48"/>
      <c r="B144" s="48">
        <v>40462018</v>
      </c>
      <c r="C144" s="48" t="s">
        <v>228</v>
      </c>
      <c r="D144" s="48"/>
      <c r="E144" s="52" t="s">
        <v>175</v>
      </c>
      <c r="F144" s="52" t="s">
        <v>201</v>
      </c>
      <c r="G144" s="52" t="s">
        <v>36</v>
      </c>
      <c r="H144" s="52" t="s">
        <v>8</v>
      </c>
      <c r="I144" s="52">
        <v>10000</v>
      </c>
      <c r="J144" s="54">
        <v>5000</v>
      </c>
      <c r="K144" s="52"/>
      <c r="L144" s="55">
        <v>0.5</v>
      </c>
      <c r="M144" s="52">
        <v>15000</v>
      </c>
      <c r="N144" s="5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s="32" customFormat="1" x14ac:dyDescent="0.25">
      <c r="A145" s="48"/>
      <c r="B145" s="48">
        <v>40712019</v>
      </c>
      <c r="C145" s="48" t="s">
        <v>229</v>
      </c>
      <c r="D145" s="48"/>
      <c r="E145" s="52" t="s">
        <v>175</v>
      </c>
      <c r="F145" s="52" t="s">
        <v>201</v>
      </c>
      <c r="G145" s="52" t="s">
        <v>36</v>
      </c>
      <c r="H145" s="52" t="s">
        <v>130</v>
      </c>
      <c r="I145" s="52">
        <v>65000</v>
      </c>
      <c r="J145" s="54">
        <v>15000</v>
      </c>
      <c r="K145" s="52"/>
      <c r="L145" s="55">
        <v>0.23076923076923078</v>
      </c>
      <c r="M145" s="52">
        <v>80000</v>
      </c>
      <c r="N145" s="5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s="32" customFormat="1" x14ac:dyDescent="0.25">
      <c r="A146" s="48"/>
      <c r="B146" s="48">
        <v>10252008</v>
      </c>
      <c r="C146" s="48" t="s">
        <v>65</v>
      </c>
      <c r="D146" s="48"/>
      <c r="E146" s="52" t="s">
        <v>175</v>
      </c>
      <c r="F146" s="52" t="s">
        <v>201</v>
      </c>
      <c r="G146" s="52" t="s">
        <v>138</v>
      </c>
      <c r="H146" s="52" t="s">
        <v>21</v>
      </c>
      <c r="I146" s="52">
        <v>40000</v>
      </c>
      <c r="J146" s="54">
        <v>6000</v>
      </c>
      <c r="K146" s="52"/>
      <c r="L146" s="55">
        <v>0.15</v>
      </c>
      <c r="M146" s="52">
        <v>46000</v>
      </c>
      <c r="N146" s="5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25">
      <c r="A147" s="48"/>
      <c r="B147" s="48">
        <v>10702016</v>
      </c>
      <c r="C147" s="48" t="s">
        <v>100</v>
      </c>
      <c r="D147" s="48"/>
      <c r="E147" s="52" t="s">
        <v>175</v>
      </c>
      <c r="F147" s="52" t="s">
        <v>201</v>
      </c>
      <c r="G147" s="52" t="s">
        <v>138</v>
      </c>
      <c r="H147" s="52" t="s">
        <v>3</v>
      </c>
      <c r="I147" s="52">
        <v>24000</v>
      </c>
      <c r="J147" s="54">
        <v>4000</v>
      </c>
      <c r="K147" s="52"/>
      <c r="L147" s="55">
        <v>0.16666666666666666</v>
      </c>
      <c r="M147" s="52">
        <v>28000</v>
      </c>
      <c r="N147" s="52"/>
    </row>
    <row r="148" spans="1:34" x14ac:dyDescent="0.25">
      <c r="A148" s="48"/>
      <c r="B148" s="48">
        <v>40392018</v>
      </c>
      <c r="C148" s="48" t="s">
        <v>237</v>
      </c>
      <c r="D148" s="48"/>
      <c r="E148" s="52" t="s">
        <v>175</v>
      </c>
      <c r="F148" s="52" t="s">
        <v>201</v>
      </c>
      <c r="G148" s="52" t="s">
        <v>138</v>
      </c>
      <c r="H148" s="52" t="s">
        <v>3</v>
      </c>
      <c r="I148" s="52">
        <v>20000</v>
      </c>
      <c r="J148" s="54">
        <v>4000</v>
      </c>
      <c r="K148" s="52"/>
      <c r="L148" s="55">
        <v>0.2</v>
      </c>
      <c r="M148" s="52">
        <v>24000</v>
      </c>
      <c r="N148" s="52"/>
    </row>
    <row r="149" spans="1:34" x14ac:dyDescent="0.25">
      <c r="A149" s="48"/>
      <c r="B149" s="48">
        <v>40362018</v>
      </c>
      <c r="C149" s="48" t="s">
        <v>298</v>
      </c>
      <c r="D149" s="48"/>
      <c r="E149" s="52" t="s">
        <v>175</v>
      </c>
      <c r="F149" s="52" t="s">
        <v>201</v>
      </c>
      <c r="G149" s="52" t="s">
        <v>238</v>
      </c>
      <c r="H149" s="52" t="s">
        <v>17</v>
      </c>
      <c r="I149" s="52">
        <v>350000</v>
      </c>
      <c r="J149" s="54">
        <v>0</v>
      </c>
      <c r="K149" s="52"/>
      <c r="L149" s="55">
        <v>0</v>
      </c>
      <c r="M149" s="52">
        <v>350000</v>
      </c>
      <c r="N149" s="52"/>
    </row>
    <row r="150" spans="1:34" x14ac:dyDescent="0.25">
      <c r="A150" s="48"/>
      <c r="B150" s="48">
        <v>40052018</v>
      </c>
      <c r="C150" s="48" t="s">
        <v>299</v>
      </c>
      <c r="D150" s="48"/>
      <c r="E150" s="52" t="s">
        <v>175</v>
      </c>
      <c r="F150" s="52" t="s">
        <v>201</v>
      </c>
      <c r="G150" s="52" t="s">
        <v>238</v>
      </c>
      <c r="H150" s="52" t="s">
        <v>239</v>
      </c>
      <c r="I150" s="52">
        <v>55000</v>
      </c>
      <c r="J150" s="54">
        <v>13000</v>
      </c>
      <c r="K150" s="52"/>
      <c r="L150" s="55">
        <v>0.23636363636363636</v>
      </c>
      <c r="M150" s="52">
        <v>68000</v>
      </c>
      <c r="N150" s="52" t="s">
        <v>377</v>
      </c>
    </row>
    <row r="151" spans="1:34" x14ac:dyDescent="0.25">
      <c r="A151" s="48"/>
      <c r="B151" s="48">
        <v>40372018</v>
      </c>
      <c r="C151" s="48" t="s">
        <v>300</v>
      </c>
      <c r="D151" s="48"/>
      <c r="E151" s="52" t="s">
        <v>175</v>
      </c>
      <c r="F151" s="52" t="s">
        <v>201</v>
      </c>
      <c r="G151" s="52" t="s">
        <v>238</v>
      </c>
      <c r="H151" s="52" t="s">
        <v>240</v>
      </c>
      <c r="I151" s="52">
        <v>25000</v>
      </c>
      <c r="J151" s="54">
        <v>5000</v>
      </c>
      <c r="K151" s="52"/>
      <c r="L151" s="55">
        <v>0.2</v>
      </c>
      <c r="M151" s="52">
        <v>30000</v>
      </c>
      <c r="N151" s="52"/>
    </row>
    <row r="152" spans="1:34" x14ac:dyDescent="0.25">
      <c r="A152" s="48"/>
      <c r="B152" s="48">
        <v>40432018</v>
      </c>
      <c r="C152" s="48" t="s">
        <v>301</v>
      </c>
      <c r="D152" s="48"/>
      <c r="E152" s="52" t="s">
        <v>175</v>
      </c>
      <c r="F152" s="52" t="s">
        <v>201</v>
      </c>
      <c r="G152" s="52" t="s">
        <v>238</v>
      </c>
      <c r="H152" s="52" t="s">
        <v>239</v>
      </c>
      <c r="I152" s="52">
        <v>40000</v>
      </c>
      <c r="J152" s="54">
        <v>10000</v>
      </c>
      <c r="K152" s="52"/>
      <c r="L152" s="55">
        <v>0.25</v>
      </c>
      <c r="M152" s="52">
        <v>50000</v>
      </c>
      <c r="N152" s="52" t="s">
        <v>378</v>
      </c>
    </row>
    <row r="153" spans="1:34" x14ac:dyDescent="0.25">
      <c r="A153" s="48"/>
      <c r="B153" s="48">
        <v>40592019</v>
      </c>
      <c r="C153" s="48" t="s">
        <v>303</v>
      </c>
      <c r="D153" s="48"/>
      <c r="E153" s="52" t="s">
        <v>175</v>
      </c>
      <c r="F153" s="52" t="s">
        <v>201</v>
      </c>
      <c r="G153" s="52" t="s">
        <v>238</v>
      </c>
      <c r="H153" s="52" t="s">
        <v>240</v>
      </c>
      <c r="I153" s="52">
        <v>18000</v>
      </c>
      <c r="J153" s="54">
        <v>7000</v>
      </c>
      <c r="K153" s="52"/>
      <c r="L153" s="55">
        <v>0.3888888888888889</v>
      </c>
      <c r="M153" s="52">
        <v>25000</v>
      </c>
      <c r="N153" s="52"/>
    </row>
    <row r="154" spans="1:34" x14ac:dyDescent="0.25">
      <c r="A154" s="48"/>
      <c r="B154" s="48">
        <v>40652019</v>
      </c>
      <c r="C154" s="48" t="s">
        <v>304</v>
      </c>
      <c r="D154" s="48"/>
      <c r="E154" s="52" t="s">
        <v>175</v>
      </c>
      <c r="F154" s="52" t="s">
        <v>201</v>
      </c>
      <c r="G154" s="52" t="s">
        <v>238</v>
      </c>
      <c r="H154" s="52" t="s">
        <v>239</v>
      </c>
      <c r="I154" s="52">
        <v>55000</v>
      </c>
      <c r="J154" s="54">
        <v>0</v>
      </c>
      <c r="K154" s="52"/>
      <c r="L154" s="55">
        <v>0</v>
      </c>
      <c r="M154" s="52">
        <v>55000</v>
      </c>
      <c r="N154" s="52"/>
    </row>
    <row r="155" spans="1:34" x14ac:dyDescent="0.25">
      <c r="A155" s="48"/>
      <c r="B155" s="48">
        <v>40612019</v>
      </c>
      <c r="C155" s="48" t="s">
        <v>243</v>
      </c>
      <c r="D155" s="48"/>
      <c r="E155" s="52" t="s">
        <v>175</v>
      </c>
      <c r="F155" s="52" t="s">
        <v>201</v>
      </c>
      <c r="G155" s="52" t="s">
        <v>238</v>
      </c>
      <c r="H155" s="52" t="s">
        <v>240</v>
      </c>
      <c r="I155" s="52">
        <v>15000</v>
      </c>
      <c r="J155" s="54">
        <v>5000</v>
      </c>
      <c r="K155" s="52"/>
      <c r="L155" s="55">
        <v>0.33333333333333331</v>
      </c>
      <c r="M155" s="52">
        <v>20000</v>
      </c>
      <c r="N155" s="52"/>
    </row>
    <row r="156" spans="1:34" x14ac:dyDescent="0.25">
      <c r="A156" s="48"/>
      <c r="B156" s="48">
        <v>10352009</v>
      </c>
      <c r="C156" s="48" t="s">
        <v>120</v>
      </c>
      <c r="D156" s="48"/>
      <c r="E156" s="52" t="s">
        <v>175</v>
      </c>
      <c r="F156" s="52" t="s">
        <v>201</v>
      </c>
      <c r="G156" s="52" t="s">
        <v>32</v>
      </c>
      <c r="H156" s="52" t="s">
        <v>33</v>
      </c>
      <c r="I156" s="52">
        <v>45000</v>
      </c>
      <c r="J156" s="54">
        <v>10000</v>
      </c>
      <c r="K156" s="52"/>
      <c r="L156" s="55">
        <v>0.22222222222222221</v>
      </c>
      <c r="M156" s="52">
        <v>55000</v>
      </c>
      <c r="N156" s="52"/>
    </row>
    <row r="157" spans="1:34" x14ac:dyDescent="0.25">
      <c r="A157" s="48"/>
      <c r="B157" s="48">
        <v>10952017</v>
      </c>
      <c r="C157" s="48" t="s">
        <v>121</v>
      </c>
      <c r="D157" s="48"/>
      <c r="E157" s="52" t="s">
        <v>175</v>
      </c>
      <c r="F157" s="52" t="s">
        <v>201</v>
      </c>
      <c r="G157" s="52" t="s">
        <v>32</v>
      </c>
      <c r="H157" s="52" t="s">
        <v>35</v>
      </c>
      <c r="I157" s="52">
        <v>18000</v>
      </c>
      <c r="J157" s="54">
        <v>5000</v>
      </c>
      <c r="K157" s="52"/>
      <c r="L157" s="55">
        <v>0.27777777777777779</v>
      </c>
      <c r="M157" s="52">
        <v>23000</v>
      </c>
      <c r="N157" s="52"/>
    </row>
    <row r="158" spans="1:34" x14ac:dyDescent="0.25">
      <c r="A158" s="48"/>
      <c r="B158" s="48">
        <v>20692016</v>
      </c>
      <c r="C158" s="48" t="s">
        <v>122</v>
      </c>
      <c r="D158" s="48"/>
      <c r="E158" s="52" t="s">
        <v>175</v>
      </c>
      <c r="F158" s="52" t="s">
        <v>201</v>
      </c>
      <c r="G158" s="52" t="s">
        <v>32</v>
      </c>
      <c r="H158" s="52" t="s">
        <v>3</v>
      </c>
      <c r="I158" s="52">
        <v>28000</v>
      </c>
      <c r="J158" s="54">
        <v>3000</v>
      </c>
      <c r="K158" s="52"/>
      <c r="L158" s="55">
        <v>0.10714285714285714</v>
      </c>
      <c r="M158" s="52">
        <v>31000</v>
      </c>
      <c r="N158" s="52"/>
    </row>
    <row r="159" spans="1:34" s="32" customFormat="1" x14ac:dyDescent="0.25">
      <c r="A159" s="48"/>
      <c r="B159" s="48">
        <v>40422018</v>
      </c>
      <c r="C159" s="48" t="s">
        <v>231</v>
      </c>
      <c r="D159" s="48"/>
      <c r="E159" s="52" t="s">
        <v>175</v>
      </c>
      <c r="F159" s="52" t="s">
        <v>201</v>
      </c>
      <c r="G159" s="52" t="s">
        <v>32</v>
      </c>
      <c r="H159" s="52" t="s">
        <v>8</v>
      </c>
      <c r="I159" s="52">
        <v>18000</v>
      </c>
      <c r="J159" s="54">
        <v>5000</v>
      </c>
      <c r="K159" s="52"/>
      <c r="L159" s="55">
        <v>0.27777777777777779</v>
      </c>
      <c r="M159" s="52">
        <v>23000</v>
      </c>
      <c r="N159" s="5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s="32" customFormat="1" x14ac:dyDescent="0.25">
      <c r="A160" s="48"/>
      <c r="B160" s="48">
        <v>40522018</v>
      </c>
      <c r="C160" s="48" t="s">
        <v>232</v>
      </c>
      <c r="D160" s="48"/>
      <c r="E160" s="52" t="s">
        <v>175</v>
      </c>
      <c r="F160" s="52" t="s">
        <v>201</v>
      </c>
      <c r="G160" s="52" t="s">
        <v>32</v>
      </c>
      <c r="H160" s="52" t="s">
        <v>21</v>
      </c>
      <c r="I160" s="52">
        <v>37000</v>
      </c>
      <c r="J160" s="54">
        <v>3000</v>
      </c>
      <c r="K160" s="52"/>
      <c r="L160" s="55">
        <v>8.1081081081081086E-2</v>
      </c>
      <c r="M160" s="52">
        <v>40000</v>
      </c>
      <c r="N160" s="5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14" x14ac:dyDescent="0.25">
      <c r="A161" s="48"/>
      <c r="B161" s="48">
        <v>40502018</v>
      </c>
      <c r="C161" s="48" t="s">
        <v>233</v>
      </c>
      <c r="D161" s="48"/>
      <c r="E161" s="52" t="s">
        <v>175</v>
      </c>
      <c r="F161" s="52" t="s">
        <v>201</v>
      </c>
      <c r="G161" s="52" t="s">
        <v>32</v>
      </c>
      <c r="H161" s="52" t="s">
        <v>3</v>
      </c>
      <c r="I161" s="52">
        <v>30000</v>
      </c>
      <c r="J161" s="54">
        <v>3000</v>
      </c>
      <c r="K161" s="52"/>
      <c r="L161" s="55">
        <v>0.1</v>
      </c>
      <c r="M161" s="52">
        <v>33000</v>
      </c>
      <c r="N161" s="52"/>
    </row>
    <row r="162" spans="1:14" x14ac:dyDescent="0.25">
      <c r="A162" s="48"/>
      <c r="B162" s="48"/>
      <c r="C162" s="48"/>
      <c r="D162" s="48"/>
      <c r="E162" s="52"/>
      <c r="F162" s="52"/>
      <c r="G162" s="52"/>
      <c r="H162" s="52"/>
      <c r="I162" s="52">
        <f>SUM(I121:I161)</f>
        <v>1569000</v>
      </c>
      <c r="J162" s="52">
        <f>SUM(J121:J161)</f>
        <v>190000</v>
      </c>
      <c r="K162" s="52"/>
      <c r="L162" s="55">
        <f>AVERAGE(L121:L161)</f>
        <v>0.20380102384656726</v>
      </c>
      <c r="M162" s="52"/>
      <c r="N162" s="52"/>
    </row>
    <row r="163" spans="1:14" x14ac:dyDescent="0.25">
      <c r="A163" s="48"/>
      <c r="B163" s="48"/>
      <c r="C163" s="48"/>
      <c r="D163" s="48"/>
      <c r="E163" s="52"/>
      <c r="F163" s="52"/>
      <c r="G163" s="52"/>
      <c r="H163" s="52"/>
      <c r="I163" s="52"/>
      <c r="J163" s="54"/>
      <c r="K163" s="52"/>
      <c r="L163" s="55"/>
      <c r="M163" s="52"/>
      <c r="N163" s="52"/>
    </row>
    <row r="164" spans="1:14" x14ac:dyDescent="0.25">
      <c r="A164" s="48"/>
      <c r="B164" s="48">
        <v>30250000</v>
      </c>
      <c r="C164" s="48" t="s">
        <v>312</v>
      </c>
      <c r="D164" s="48"/>
      <c r="E164" s="52" t="s">
        <v>175</v>
      </c>
      <c r="F164" s="52" t="s">
        <v>284</v>
      </c>
      <c r="G164" s="52" t="s">
        <v>258</v>
      </c>
      <c r="H164" s="52" t="s">
        <v>130</v>
      </c>
      <c r="I164" s="52">
        <v>52000</v>
      </c>
      <c r="J164" s="54">
        <v>8000</v>
      </c>
      <c r="K164" s="52"/>
      <c r="L164" s="55">
        <v>0.15384615384615385</v>
      </c>
      <c r="M164" s="52">
        <v>60000</v>
      </c>
      <c r="N164" s="52"/>
    </row>
    <row r="165" spans="1:14" x14ac:dyDescent="0.25">
      <c r="A165" s="48"/>
      <c r="B165" s="48">
        <v>30702018</v>
      </c>
      <c r="C165" s="48" t="s">
        <v>313</v>
      </c>
      <c r="D165" s="48"/>
      <c r="E165" s="52" t="s">
        <v>175</v>
      </c>
      <c r="F165" s="52" t="s">
        <v>284</v>
      </c>
      <c r="G165" s="52" t="s">
        <v>258</v>
      </c>
      <c r="H165" s="52" t="s">
        <v>3</v>
      </c>
      <c r="I165" s="52">
        <v>24000</v>
      </c>
      <c r="J165" s="54">
        <v>6000</v>
      </c>
      <c r="K165" s="52"/>
      <c r="L165" s="55">
        <v>0.25</v>
      </c>
      <c r="M165" s="52">
        <v>30000</v>
      </c>
      <c r="N165" s="52"/>
    </row>
    <row r="166" spans="1:14" x14ac:dyDescent="0.25">
      <c r="A166" s="48"/>
      <c r="B166" s="48">
        <v>30482016</v>
      </c>
      <c r="C166" s="48" t="s">
        <v>360</v>
      </c>
      <c r="D166" s="48"/>
      <c r="E166" s="52" t="s">
        <v>175</v>
      </c>
      <c r="F166" s="52" t="s">
        <v>284</v>
      </c>
      <c r="G166" s="52" t="s">
        <v>282</v>
      </c>
      <c r="H166" s="52" t="s">
        <v>283</v>
      </c>
      <c r="I166" s="52">
        <v>21000</v>
      </c>
      <c r="J166" s="54">
        <v>2000</v>
      </c>
      <c r="K166" s="52"/>
      <c r="L166" s="55">
        <v>9.5238095238095233E-2</v>
      </c>
      <c r="M166" s="52">
        <v>23000</v>
      </c>
      <c r="N166" s="52"/>
    </row>
  </sheetData>
  <conditionalFormatting sqref="B1:B127 B129:B1048576">
    <cfRule type="duplicateValues" dxfId="4" priority="2"/>
  </conditionalFormatting>
  <conditionalFormatting sqref="B128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A168-CC55-4859-805D-18EDE6F4CE45}">
  <dimension ref="A1:M128"/>
  <sheetViews>
    <sheetView topLeftCell="A97" zoomScale="70" zoomScaleNormal="70" workbookViewId="0">
      <pane xSplit="3" topLeftCell="D1" activePane="topRight" state="frozen"/>
      <selection pane="topRight" activeCell="I135" sqref="I135:I136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81640625" style="3" customWidth="1"/>
    <col min="6" max="6" width="8.81640625" style="2" customWidth="1"/>
    <col min="7" max="7" width="10.08984375" style="2" bestFit="1" customWidth="1"/>
    <col min="8" max="8" width="18" style="2" bestFit="1" customWidth="1"/>
    <col min="9" max="9" width="22.1796875" style="2" bestFit="1" customWidth="1"/>
    <col min="10" max="10" width="9.08984375" style="3" customWidth="1"/>
    <col min="11" max="11" width="8.7265625" style="2" customWidth="1"/>
    <col min="12" max="12" width="9.08984375" style="2" customWidth="1"/>
    <col min="13" max="13" width="12.453125" style="2" bestFit="1" customWidth="1"/>
    <col min="14" max="16384" width="8.7265625" style="1"/>
  </cols>
  <sheetData>
    <row r="1" spans="1:13" s="4" customFormat="1" ht="35.5" customHeight="1" x14ac:dyDescent="0.35">
      <c r="A1" s="15" t="s">
        <v>0</v>
      </c>
      <c r="B1" s="18" t="s">
        <v>1</v>
      </c>
      <c r="C1" s="18" t="s">
        <v>2</v>
      </c>
      <c r="D1" s="18" t="s">
        <v>183</v>
      </c>
      <c r="E1" s="19" t="s">
        <v>16</v>
      </c>
      <c r="F1" s="19" t="s">
        <v>263</v>
      </c>
      <c r="G1" s="20" t="s">
        <v>15</v>
      </c>
      <c r="H1" s="20" t="s">
        <v>13</v>
      </c>
      <c r="I1" s="20" t="s">
        <v>14</v>
      </c>
      <c r="J1" s="20" t="s">
        <v>12</v>
      </c>
      <c r="K1" s="20" t="s">
        <v>11</v>
      </c>
      <c r="L1" s="20" t="s">
        <v>10</v>
      </c>
      <c r="M1" s="20" t="s">
        <v>247</v>
      </c>
    </row>
    <row r="2" spans="1:13" x14ac:dyDescent="0.25">
      <c r="A2" s="16"/>
      <c r="B2" s="8">
        <v>10062011</v>
      </c>
      <c r="C2" s="8" t="s">
        <v>38</v>
      </c>
      <c r="D2" s="8"/>
      <c r="E2" s="9">
        <v>9000</v>
      </c>
      <c r="F2" s="10" t="s">
        <v>175</v>
      </c>
      <c r="G2" s="10" t="s">
        <v>7</v>
      </c>
      <c r="H2" s="10" t="s">
        <v>131</v>
      </c>
      <c r="I2" s="10" t="s">
        <v>130</v>
      </c>
      <c r="J2" s="9">
        <v>10000</v>
      </c>
      <c r="K2" s="10"/>
      <c r="L2" s="10">
        <v>102000</v>
      </c>
      <c r="M2" s="10"/>
    </row>
    <row r="3" spans="1:13" x14ac:dyDescent="0.25">
      <c r="A3" s="16"/>
      <c r="B3" s="8">
        <v>20042012</v>
      </c>
      <c r="C3" s="8" t="s">
        <v>39</v>
      </c>
      <c r="D3" s="8"/>
      <c r="E3" s="9">
        <v>5000</v>
      </c>
      <c r="F3" s="10" t="s">
        <v>175</v>
      </c>
      <c r="G3" s="10" t="s">
        <v>7</v>
      </c>
      <c r="H3" s="10" t="s">
        <v>131</v>
      </c>
      <c r="I3" s="10" t="s">
        <v>130</v>
      </c>
      <c r="J3" s="9">
        <v>10000</v>
      </c>
      <c r="K3" s="10"/>
      <c r="L3" s="10">
        <v>100000</v>
      </c>
      <c r="M3" s="10"/>
    </row>
    <row r="4" spans="1:13" x14ac:dyDescent="0.25">
      <c r="A4" s="16"/>
      <c r="B4" s="8">
        <v>10042008</v>
      </c>
      <c r="C4" s="8" t="s">
        <v>126</v>
      </c>
      <c r="D4" s="8"/>
      <c r="E4" s="9">
        <v>3000</v>
      </c>
      <c r="F4" s="10" t="s">
        <v>175</v>
      </c>
      <c r="G4" s="10" t="s">
        <v>7</v>
      </c>
      <c r="H4" s="10" t="s">
        <v>131</v>
      </c>
      <c r="I4" s="10" t="s">
        <v>130</v>
      </c>
      <c r="J4" s="9">
        <v>10000</v>
      </c>
      <c r="K4" s="10"/>
      <c r="L4" s="10">
        <v>100000</v>
      </c>
      <c r="M4" s="10"/>
    </row>
    <row r="5" spans="1:13" x14ac:dyDescent="0.25">
      <c r="A5" s="16"/>
      <c r="B5" s="8">
        <v>10052012</v>
      </c>
      <c r="C5" s="8" t="s">
        <v>40</v>
      </c>
      <c r="D5" s="8"/>
      <c r="E5" s="9">
        <v>10000</v>
      </c>
      <c r="F5" s="10" t="s">
        <v>175</v>
      </c>
      <c r="G5" s="10" t="s">
        <v>7</v>
      </c>
      <c r="H5" s="10" t="s">
        <v>131</v>
      </c>
      <c r="I5" s="10" t="s">
        <v>130</v>
      </c>
      <c r="J5" s="9">
        <v>10000</v>
      </c>
      <c r="K5" s="10"/>
      <c r="L5" s="10">
        <v>90000</v>
      </c>
      <c r="M5" s="10"/>
    </row>
    <row r="6" spans="1:13" x14ac:dyDescent="0.25">
      <c r="A6" s="16"/>
      <c r="B6" s="8">
        <v>20532015</v>
      </c>
      <c r="C6" s="8" t="s">
        <v>127</v>
      </c>
      <c r="D6" s="8"/>
      <c r="E6" s="9">
        <v>5000</v>
      </c>
      <c r="F6" s="10" t="s">
        <v>175</v>
      </c>
      <c r="G6" s="10" t="s">
        <v>7</v>
      </c>
      <c r="H6" s="10" t="s">
        <v>131</v>
      </c>
      <c r="I6" s="10" t="s">
        <v>21</v>
      </c>
      <c r="J6" s="9">
        <v>5000</v>
      </c>
      <c r="K6" s="10"/>
      <c r="L6" s="10">
        <v>60000</v>
      </c>
      <c r="M6" s="10"/>
    </row>
    <row r="7" spans="1:13" x14ac:dyDescent="0.25">
      <c r="A7" s="16"/>
      <c r="B7" s="8">
        <v>21072016</v>
      </c>
      <c r="C7" s="8" t="s">
        <v>41</v>
      </c>
      <c r="D7" s="8"/>
      <c r="E7" s="9">
        <v>0</v>
      </c>
      <c r="F7" s="10" t="s">
        <v>175</v>
      </c>
      <c r="G7" s="10" t="s">
        <v>7</v>
      </c>
      <c r="H7" s="10" t="s">
        <v>131</v>
      </c>
      <c r="I7" s="10" t="s">
        <v>21</v>
      </c>
      <c r="J7" s="9"/>
      <c r="K7" s="10"/>
      <c r="L7" s="10">
        <v>54000</v>
      </c>
      <c r="M7" s="10"/>
    </row>
    <row r="8" spans="1:13" x14ac:dyDescent="0.25">
      <c r="A8" s="16"/>
      <c r="B8" s="8">
        <v>10132009</v>
      </c>
      <c r="C8" s="8" t="s">
        <v>42</v>
      </c>
      <c r="D8" s="8"/>
      <c r="E8" s="9">
        <v>4000</v>
      </c>
      <c r="F8" s="10" t="s">
        <v>175</v>
      </c>
      <c r="G8" s="10" t="s">
        <v>7</v>
      </c>
      <c r="H8" s="10" t="s">
        <v>131</v>
      </c>
      <c r="I8" s="10" t="s">
        <v>21</v>
      </c>
      <c r="J8" s="9">
        <v>5000</v>
      </c>
      <c r="K8" s="10"/>
      <c r="L8" s="10">
        <v>45000</v>
      </c>
      <c r="M8" s="10"/>
    </row>
    <row r="9" spans="1:13" x14ac:dyDescent="0.25">
      <c r="A9" s="16"/>
      <c r="B9" s="8">
        <v>20092008</v>
      </c>
      <c r="C9" s="8" t="s">
        <v>128</v>
      </c>
      <c r="D9" s="8"/>
      <c r="E9" s="9">
        <v>7000</v>
      </c>
      <c r="F9" s="10" t="s">
        <v>175</v>
      </c>
      <c r="G9" s="10" t="s">
        <v>7</v>
      </c>
      <c r="H9" s="10" t="s">
        <v>131</v>
      </c>
      <c r="I9" s="10" t="s">
        <v>21</v>
      </c>
      <c r="J9" s="9">
        <v>7000</v>
      </c>
      <c r="K9" s="10"/>
      <c r="L9" s="10">
        <v>62000</v>
      </c>
      <c r="M9" s="10"/>
    </row>
    <row r="10" spans="1:13" x14ac:dyDescent="0.25">
      <c r="A10" s="16"/>
      <c r="B10" s="8">
        <v>10582007</v>
      </c>
      <c r="C10" s="8" t="s">
        <v>129</v>
      </c>
      <c r="D10" s="8"/>
      <c r="E10" s="9">
        <v>2000</v>
      </c>
      <c r="F10" s="10" t="s">
        <v>175</v>
      </c>
      <c r="G10" s="10" t="s">
        <v>7</v>
      </c>
      <c r="H10" s="10" t="s">
        <v>131</v>
      </c>
      <c r="I10" s="10" t="s">
        <v>21</v>
      </c>
      <c r="J10" s="9">
        <v>3000</v>
      </c>
      <c r="K10" s="10"/>
      <c r="L10" s="10">
        <v>35000</v>
      </c>
      <c r="M10" s="10"/>
    </row>
    <row r="11" spans="1:13" x14ac:dyDescent="0.25">
      <c r="A11" s="17"/>
      <c r="B11" s="12">
        <v>10782016</v>
      </c>
      <c r="C11" s="12" t="s">
        <v>43</v>
      </c>
      <c r="D11" s="12"/>
      <c r="E11" s="13">
        <v>0</v>
      </c>
      <c r="F11" s="10" t="s">
        <v>175</v>
      </c>
      <c r="G11" s="14" t="s">
        <v>7</v>
      </c>
      <c r="H11" s="14" t="s">
        <v>36</v>
      </c>
      <c r="I11" s="14" t="s">
        <v>132</v>
      </c>
      <c r="J11" s="13">
        <v>0</v>
      </c>
      <c r="K11" s="14"/>
      <c r="L11" s="14">
        <v>180000</v>
      </c>
      <c r="M11" s="14"/>
    </row>
    <row r="12" spans="1:13" x14ac:dyDescent="0.25">
      <c r="A12" s="17"/>
      <c r="B12" s="12">
        <v>21152017</v>
      </c>
      <c r="C12" s="12" t="s">
        <v>44</v>
      </c>
      <c r="D12" s="12"/>
      <c r="E12" s="13">
        <v>0</v>
      </c>
      <c r="F12" s="10" t="s">
        <v>175</v>
      </c>
      <c r="G12" s="14" t="s">
        <v>7</v>
      </c>
      <c r="H12" s="14" t="s">
        <v>36</v>
      </c>
      <c r="I12" s="14" t="s">
        <v>130</v>
      </c>
      <c r="J12" s="13">
        <v>5000</v>
      </c>
      <c r="K12" s="14"/>
      <c r="L12" s="14">
        <v>105000</v>
      </c>
      <c r="M12" s="14"/>
    </row>
    <row r="13" spans="1:13" x14ac:dyDescent="0.25">
      <c r="A13" s="17"/>
      <c r="B13" s="12">
        <v>20332017</v>
      </c>
      <c r="C13" s="12" t="s">
        <v>45</v>
      </c>
      <c r="D13" s="12"/>
      <c r="E13" s="13">
        <v>0</v>
      </c>
      <c r="F13" s="10" t="s">
        <v>175</v>
      </c>
      <c r="G13" s="14" t="s">
        <v>7</v>
      </c>
      <c r="H13" s="14" t="s">
        <v>36</v>
      </c>
      <c r="I13" s="14" t="s">
        <v>21</v>
      </c>
      <c r="J13" s="13">
        <v>7000</v>
      </c>
      <c r="K13" s="14"/>
      <c r="L13" s="14">
        <v>67000</v>
      </c>
      <c r="M13" s="14"/>
    </row>
    <row r="14" spans="1:13" x14ac:dyDescent="0.25">
      <c r="A14" s="17"/>
      <c r="B14" s="12">
        <v>20342009</v>
      </c>
      <c r="C14" s="12" t="s">
        <v>46</v>
      </c>
      <c r="D14" s="12"/>
      <c r="E14" s="13">
        <v>4000</v>
      </c>
      <c r="F14" s="10" t="s">
        <v>175</v>
      </c>
      <c r="G14" s="14" t="s">
        <v>7</v>
      </c>
      <c r="H14" s="14" t="s">
        <v>36</v>
      </c>
      <c r="I14" s="14" t="s">
        <v>3</v>
      </c>
      <c r="J14" s="13">
        <v>3000</v>
      </c>
      <c r="K14" s="14" t="s">
        <v>4</v>
      </c>
      <c r="L14" s="14">
        <v>47000</v>
      </c>
      <c r="M14" s="14"/>
    </row>
    <row r="15" spans="1:13" x14ac:dyDescent="0.25">
      <c r="A15" s="17"/>
      <c r="B15" s="12">
        <v>10752016</v>
      </c>
      <c r="C15" s="12" t="s">
        <v>47</v>
      </c>
      <c r="D15" s="12"/>
      <c r="E15" s="13">
        <v>0</v>
      </c>
      <c r="F15" s="10" t="s">
        <v>175</v>
      </c>
      <c r="G15" s="14" t="s">
        <v>7</v>
      </c>
      <c r="H15" s="14" t="s">
        <v>36</v>
      </c>
      <c r="I15" s="14" t="s">
        <v>5</v>
      </c>
      <c r="J15" s="13">
        <v>7000</v>
      </c>
      <c r="K15" s="14" t="s">
        <v>3</v>
      </c>
      <c r="L15" s="14">
        <v>35000</v>
      </c>
      <c r="M15" s="14"/>
    </row>
    <row r="16" spans="1:13" x14ac:dyDescent="0.25">
      <c r="A16" s="17"/>
      <c r="B16" s="12">
        <v>10732016</v>
      </c>
      <c r="C16" s="12" t="s">
        <v>48</v>
      </c>
      <c r="D16" s="12"/>
      <c r="E16" s="13">
        <v>0</v>
      </c>
      <c r="F16" s="10" t="s">
        <v>175</v>
      </c>
      <c r="G16" s="14" t="s">
        <v>7</v>
      </c>
      <c r="H16" s="14" t="s">
        <v>36</v>
      </c>
      <c r="I16" s="14" t="s">
        <v>5</v>
      </c>
      <c r="J16" s="13">
        <v>7000</v>
      </c>
      <c r="K16" s="14" t="s">
        <v>3</v>
      </c>
      <c r="L16" s="14">
        <v>33000</v>
      </c>
      <c r="M16" s="14"/>
    </row>
    <row r="17" spans="1:13" x14ac:dyDescent="0.25">
      <c r="A17" s="17"/>
      <c r="B17" s="12">
        <v>20302005</v>
      </c>
      <c r="C17" s="12" t="s">
        <v>49</v>
      </c>
      <c r="D17" s="12"/>
      <c r="E17" s="13">
        <v>1000</v>
      </c>
      <c r="F17" s="10" t="s">
        <v>175</v>
      </c>
      <c r="G17" s="14" t="s">
        <v>7</v>
      </c>
      <c r="H17" s="14" t="s">
        <v>36</v>
      </c>
      <c r="I17" s="14" t="s">
        <v>3</v>
      </c>
      <c r="J17" s="13">
        <v>2000</v>
      </c>
      <c r="K17" s="14"/>
      <c r="L17" s="14">
        <v>46000</v>
      </c>
      <c r="M17" s="14"/>
    </row>
    <row r="18" spans="1:13" x14ac:dyDescent="0.25">
      <c r="A18" s="17"/>
      <c r="B18" s="12">
        <v>10392012</v>
      </c>
      <c r="C18" s="12" t="s">
        <v>50</v>
      </c>
      <c r="D18" s="12"/>
      <c r="E18" s="13">
        <v>1000</v>
      </c>
      <c r="F18" s="10" t="s">
        <v>175</v>
      </c>
      <c r="G18" s="14" t="s">
        <v>7</v>
      </c>
      <c r="H18" s="14" t="s">
        <v>36</v>
      </c>
      <c r="I18" s="14" t="s">
        <v>6</v>
      </c>
      <c r="J18" s="13">
        <v>3000</v>
      </c>
      <c r="K18" s="14" t="s">
        <v>5</v>
      </c>
      <c r="L18" s="14">
        <v>33000</v>
      </c>
      <c r="M18" s="14"/>
    </row>
    <row r="19" spans="1:13" x14ac:dyDescent="0.25">
      <c r="A19" s="17"/>
      <c r="B19" s="12">
        <v>10402012</v>
      </c>
      <c r="C19" s="12" t="s">
        <v>51</v>
      </c>
      <c r="D19" s="12"/>
      <c r="E19" s="13">
        <v>3000</v>
      </c>
      <c r="F19" s="10" t="s">
        <v>175</v>
      </c>
      <c r="G19" s="14" t="s">
        <v>7</v>
      </c>
      <c r="H19" s="14" t="s">
        <v>36</v>
      </c>
      <c r="I19" s="14" t="s">
        <v>35</v>
      </c>
      <c r="J19" s="13">
        <v>4000</v>
      </c>
      <c r="K19" s="14" t="s">
        <v>5</v>
      </c>
      <c r="L19" s="14">
        <v>36000</v>
      </c>
      <c r="M19" s="14"/>
    </row>
    <row r="20" spans="1:13" x14ac:dyDescent="0.25">
      <c r="A20" s="17"/>
      <c r="B20" s="12">
        <v>10722016</v>
      </c>
      <c r="C20" s="12" t="s">
        <v>52</v>
      </c>
      <c r="D20" s="12"/>
      <c r="E20" s="13">
        <v>3000</v>
      </c>
      <c r="F20" s="10" t="s">
        <v>175</v>
      </c>
      <c r="G20" s="14" t="s">
        <v>7</v>
      </c>
      <c r="H20" s="14" t="s">
        <v>36</v>
      </c>
      <c r="I20" s="14" t="s">
        <v>6</v>
      </c>
      <c r="J20" s="13">
        <v>3000</v>
      </c>
      <c r="K20" s="14"/>
      <c r="L20" s="14">
        <v>30000</v>
      </c>
      <c r="M20" s="14"/>
    </row>
    <row r="21" spans="1:13" x14ac:dyDescent="0.25">
      <c r="A21" s="17"/>
      <c r="B21" s="12">
        <v>10692016</v>
      </c>
      <c r="C21" s="12" t="s">
        <v>53</v>
      </c>
      <c r="D21" s="12"/>
      <c r="E21" s="13">
        <v>5000</v>
      </c>
      <c r="F21" s="10" t="s">
        <v>175</v>
      </c>
      <c r="G21" s="14" t="s">
        <v>7</v>
      </c>
      <c r="H21" s="14" t="s">
        <v>36</v>
      </c>
      <c r="I21" s="14" t="s">
        <v>3</v>
      </c>
      <c r="J21" s="13">
        <v>6000</v>
      </c>
      <c r="K21" s="14"/>
      <c r="L21" s="14">
        <v>26000</v>
      </c>
      <c r="M21" s="14"/>
    </row>
    <row r="22" spans="1:13" x14ac:dyDescent="0.25">
      <c r="A22" s="17"/>
      <c r="B22" s="12">
        <v>20932017</v>
      </c>
      <c r="C22" s="12" t="s">
        <v>54</v>
      </c>
      <c r="D22" s="12"/>
      <c r="E22" s="13">
        <v>0</v>
      </c>
      <c r="F22" s="10" t="s">
        <v>175</v>
      </c>
      <c r="G22" s="14" t="s">
        <v>7</v>
      </c>
      <c r="H22" s="14" t="s">
        <v>36</v>
      </c>
      <c r="I22" s="14" t="s">
        <v>3</v>
      </c>
      <c r="J22" s="13">
        <v>5000</v>
      </c>
      <c r="K22" s="14"/>
      <c r="L22" s="14">
        <v>25000</v>
      </c>
      <c r="M22" s="14" t="s">
        <v>177</v>
      </c>
    </row>
    <row r="23" spans="1:13" x14ac:dyDescent="0.25">
      <c r="A23" s="17"/>
      <c r="B23" s="12">
        <v>20992017</v>
      </c>
      <c r="C23" s="12" t="s">
        <v>133</v>
      </c>
      <c r="D23" s="12"/>
      <c r="E23" s="13">
        <v>8000</v>
      </c>
      <c r="F23" s="10" t="s">
        <v>175</v>
      </c>
      <c r="G23" s="14" t="s">
        <v>7</v>
      </c>
      <c r="H23" s="14" t="s">
        <v>36</v>
      </c>
      <c r="I23" s="14" t="s">
        <v>8</v>
      </c>
      <c r="J23" s="13">
        <v>3000</v>
      </c>
      <c r="K23" s="14" t="s">
        <v>6</v>
      </c>
      <c r="L23" s="14">
        <v>23000</v>
      </c>
      <c r="M23" s="14"/>
    </row>
    <row r="24" spans="1:13" x14ac:dyDescent="0.25">
      <c r="A24" s="17"/>
      <c r="B24" s="12">
        <v>21212018</v>
      </c>
      <c r="C24" s="12" t="s">
        <v>55</v>
      </c>
      <c r="D24" s="12"/>
      <c r="E24" s="13">
        <v>0</v>
      </c>
      <c r="F24" s="10" t="s">
        <v>175</v>
      </c>
      <c r="G24" s="14" t="s">
        <v>7</v>
      </c>
      <c r="H24" s="14" t="s">
        <v>36</v>
      </c>
      <c r="I24" s="14" t="s">
        <v>8</v>
      </c>
      <c r="J24" s="13">
        <v>2000</v>
      </c>
      <c r="K24" s="14"/>
      <c r="L24" s="14">
        <v>20000</v>
      </c>
      <c r="M24" s="14" t="s">
        <v>178</v>
      </c>
    </row>
    <row r="25" spans="1:13" x14ac:dyDescent="0.25">
      <c r="A25" s="17"/>
      <c r="B25" s="12">
        <v>21322018</v>
      </c>
      <c r="C25" s="12" t="s">
        <v>179</v>
      </c>
      <c r="D25" s="12"/>
      <c r="E25" s="13"/>
      <c r="F25" s="14" t="s">
        <v>175</v>
      </c>
      <c r="G25" s="14" t="s">
        <v>7</v>
      </c>
      <c r="H25" s="14" t="s">
        <v>36</v>
      </c>
      <c r="I25" s="14" t="s">
        <v>5</v>
      </c>
      <c r="J25" s="13">
        <v>2000</v>
      </c>
      <c r="K25" s="14" t="s">
        <v>180</v>
      </c>
      <c r="L25" s="14">
        <v>18000</v>
      </c>
      <c r="M25" s="14" t="s">
        <v>178</v>
      </c>
    </row>
    <row r="26" spans="1:13" x14ac:dyDescent="0.25">
      <c r="A26" s="21"/>
      <c r="B26" s="21">
        <v>11012018</v>
      </c>
      <c r="C26" s="21" t="s">
        <v>56</v>
      </c>
      <c r="D26" s="21"/>
      <c r="E26" s="22">
        <v>0</v>
      </c>
      <c r="F26" s="14" t="s">
        <v>175</v>
      </c>
      <c r="G26" s="5" t="s">
        <v>7</v>
      </c>
      <c r="H26" s="5" t="s">
        <v>37</v>
      </c>
      <c r="I26" s="5" t="s">
        <v>136</v>
      </c>
      <c r="J26" s="7">
        <v>0</v>
      </c>
      <c r="K26" s="5"/>
      <c r="L26" s="5">
        <v>150000</v>
      </c>
      <c r="M26" s="5"/>
    </row>
    <row r="27" spans="1:13" x14ac:dyDescent="0.25">
      <c r="A27" s="21"/>
      <c r="B27" s="21">
        <v>20282010</v>
      </c>
      <c r="C27" s="21" t="s">
        <v>57</v>
      </c>
      <c r="D27" s="21"/>
      <c r="E27" s="22">
        <v>0</v>
      </c>
      <c r="F27" s="14" t="s">
        <v>175</v>
      </c>
      <c r="G27" s="5" t="s">
        <v>7</v>
      </c>
      <c r="H27" s="5" t="s">
        <v>37</v>
      </c>
      <c r="I27" s="5" t="s">
        <v>4</v>
      </c>
      <c r="J27" s="7">
        <v>5000</v>
      </c>
      <c r="K27" s="5"/>
      <c r="L27" s="5">
        <v>61000</v>
      </c>
      <c r="M27" s="5"/>
    </row>
    <row r="28" spans="1:13" x14ac:dyDescent="0.25">
      <c r="A28" s="21"/>
      <c r="B28" s="21">
        <v>21132017</v>
      </c>
      <c r="C28" s="21" t="s">
        <v>58</v>
      </c>
      <c r="D28" s="21"/>
      <c r="E28" s="22">
        <v>0</v>
      </c>
      <c r="F28" s="14" t="s">
        <v>175</v>
      </c>
      <c r="G28" s="5" t="s">
        <v>7</v>
      </c>
      <c r="H28" s="5" t="s">
        <v>37</v>
      </c>
      <c r="I28" s="5" t="s">
        <v>4</v>
      </c>
      <c r="J28" s="7">
        <v>5000</v>
      </c>
      <c r="K28" s="5"/>
      <c r="L28" s="5">
        <v>45000</v>
      </c>
      <c r="M28" s="5"/>
    </row>
    <row r="29" spans="1:13" x14ac:dyDescent="0.25">
      <c r="A29" s="21"/>
      <c r="B29" s="21">
        <v>30572016</v>
      </c>
      <c r="C29" s="21" t="s">
        <v>59</v>
      </c>
      <c r="D29" s="21"/>
      <c r="E29" s="22">
        <v>0</v>
      </c>
      <c r="F29" s="14" t="s">
        <v>175</v>
      </c>
      <c r="G29" s="5" t="s">
        <v>7</v>
      </c>
      <c r="H29" s="5" t="s">
        <v>37</v>
      </c>
      <c r="I29" s="5" t="s">
        <v>135</v>
      </c>
      <c r="J29" s="7">
        <v>4000</v>
      </c>
      <c r="K29" s="5"/>
      <c r="L29" s="5">
        <v>30000</v>
      </c>
      <c r="M29" s="5"/>
    </row>
    <row r="30" spans="1:13" x14ac:dyDescent="0.25">
      <c r="A30" s="21"/>
      <c r="B30" s="21">
        <v>20982017</v>
      </c>
      <c r="C30" s="21" t="s">
        <v>134</v>
      </c>
      <c r="D30" s="21"/>
      <c r="E30" s="22">
        <v>5000</v>
      </c>
      <c r="F30" s="14" t="s">
        <v>175</v>
      </c>
      <c r="G30" s="5" t="s">
        <v>7</v>
      </c>
      <c r="H30" s="5" t="s">
        <v>37</v>
      </c>
      <c r="I30" s="5" t="s">
        <v>3</v>
      </c>
      <c r="J30" s="7">
        <v>5000</v>
      </c>
      <c r="K30" s="5"/>
      <c r="L30" s="5">
        <v>40000</v>
      </c>
      <c r="M30" s="5"/>
    </row>
    <row r="31" spans="1:13" x14ac:dyDescent="0.25">
      <c r="A31" s="21"/>
      <c r="B31" s="21">
        <v>10712016</v>
      </c>
      <c r="C31" s="21" t="s">
        <v>60</v>
      </c>
      <c r="D31" s="21"/>
      <c r="E31" s="22">
        <v>7000</v>
      </c>
      <c r="F31" s="14" t="s">
        <v>175</v>
      </c>
      <c r="G31" s="5" t="s">
        <v>7</v>
      </c>
      <c r="H31" s="5" t="s">
        <v>137</v>
      </c>
      <c r="I31" s="5" t="s">
        <v>3</v>
      </c>
      <c r="J31" s="7">
        <v>7000</v>
      </c>
      <c r="K31" s="5"/>
      <c r="L31" s="5">
        <v>42000</v>
      </c>
      <c r="M31" s="5"/>
    </row>
    <row r="32" spans="1:13" x14ac:dyDescent="0.25">
      <c r="A32" s="21"/>
      <c r="B32" s="21">
        <v>20352011</v>
      </c>
      <c r="C32" s="21" t="s">
        <v>61</v>
      </c>
      <c r="D32" s="21"/>
      <c r="E32" s="22">
        <v>1000</v>
      </c>
      <c r="F32" s="14" t="s">
        <v>175</v>
      </c>
      <c r="G32" s="5" t="s">
        <v>7</v>
      </c>
      <c r="H32" s="5" t="s">
        <v>137</v>
      </c>
      <c r="I32" s="5" t="s">
        <v>6</v>
      </c>
      <c r="J32" s="7">
        <v>3000</v>
      </c>
      <c r="K32" s="5"/>
      <c r="L32" s="5">
        <v>33000</v>
      </c>
      <c r="M32" s="5"/>
    </row>
    <row r="33" spans="1:13" x14ac:dyDescent="0.25">
      <c r="A33" s="21"/>
      <c r="B33" s="21">
        <v>21232018</v>
      </c>
      <c r="C33" s="21" t="s">
        <v>62</v>
      </c>
      <c r="D33" s="21"/>
      <c r="E33" s="22">
        <v>0</v>
      </c>
      <c r="F33" s="14" t="s">
        <v>175</v>
      </c>
      <c r="G33" s="5" t="s">
        <v>7</v>
      </c>
      <c r="H33" s="5" t="s">
        <v>137</v>
      </c>
      <c r="I33" s="5" t="s">
        <v>8</v>
      </c>
      <c r="J33" s="7">
        <v>3000</v>
      </c>
      <c r="K33" s="5"/>
      <c r="L33" s="5">
        <v>20000</v>
      </c>
      <c r="M33" s="5"/>
    </row>
    <row r="34" spans="1:13" x14ac:dyDescent="0.25">
      <c r="A34" s="21"/>
      <c r="B34" s="21">
        <v>20842017</v>
      </c>
      <c r="C34" s="21" t="s">
        <v>63</v>
      </c>
      <c r="D34" s="21"/>
      <c r="E34" s="22">
        <v>4000</v>
      </c>
      <c r="F34" s="14" t="s">
        <v>175</v>
      </c>
      <c r="G34" s="5" t="s">
        <v>7</v>
      </c>
      <c r="H34" s="5" t="s">
        <v>137</v>
      </c>
      <c r="I34" s="5" t="s">
        <v>5</v>
      </c>
      <c r="J34" s="7">
        <v>7000</v>
      </c>
      <c r="K34" s="5"/>
      <c r="L34" s="5">
        <v>25000</v>
      </c>
      <c r="M34" s="5"/>
    </row>
    <row r="35" spans="1:13" x14ac:dyDescent="0.25">
      <c r="A35" s="21"/>
      <c r="B35" s="21">
        <v>11092018</v>
      </c>
      <c r="C35" s="21" t="s">
        <v>194</v>
      </c>
      <c r="D35" s="21"/>
      <c r="E35" s="22">
        <v>0</v>
      </c>
      <c r="F35" s="23" t="s">
        <v>174</v>
      </c>
      <c r="G35" s="5" t="s">
        <v>174</v>
      </c>
      <c r="H35" s="5" t="s">
        <v>174</v>
      </c>
      <c r="I35" s="5" t="s">
        <v>174</v>
      </c>
      <c r="J35" s="7">
        <v>0</v>
      </c>
      <c r="K35" s="5" t="s">
        <v>174</v>
      </c>
      <c r="L35" s="5">
        <v>0</v>
      </c>
      <c r="M35" s="5" t="s">
        <v>174</v>
      </c>
    </row>
    <row r="36" spans="1:13" x14ac:dyDescent="0.25">
      <c r="A36" s="21"/>
      <c r="B36" s="21">
        <v>30211994</v>
      </c>
      <c r="C36" s="21" t="s">
        <v>64</v>
      </c>
      <c r="D36" s="21"/>
      <c r="E36" s="22">
        <v>2000</v>
      </c>
      <c r="F36" s="23" t="s">
        <v>175</v>
      </c>
      <c r="G36" s="5" t="s">
        <v>7</v>
      </c>
      <c r="H36" s="5" t="s">
        <v>138</v>
      </c>
      <c r="I36" s="5" t="s">
        <v>139</v>
      </c>
      <c r="J36" s="7">
        <v>3000</v>
      </c>
      <c r="K36" s="5"/>
      <c r="L36" s="5">
        <v>65000</v>
      </c>
      <c r="M36" s="5"/>
    </row>
    <row r="37" spans="1:13" x14ac:dyDescent="0.25">
      <c r="A37" s="21"/>
      <c r="B37" s="21">
        <v>10252008</v>
      </c>
      <c r="C37" s="21" t="s">
        <v>65</v>
      </c>
      <c r="D37" s="21"/>
      <c r="E37" s="22">
        <v>1000</v>
      </c>
      <c r="F37" s="23" t="s">
        <v>175</v>
      </c>
      <c r="G37" s="5" t="s">
        <v>7</v>
      </c>
      <c r="H37" s="5" t="s">
        <v>138</v>
      </c>
      <c r="I37" s="5" t="s">
        <v>3</v>
      </c>
      <c r="J37" s="7">
        <v>3000</v>
      </c>
      <c r="K37" s="5"/>
      <c r="L37" s="5">
        <v>40000</v>
      </c>
      <c r="M37" s="5"/>
    </row>
    <row r="38" spans="1:13" x14ac:dyDescent="0.25">
      <c r="A38" s="21"/>
      <c r="B38" s="21">
        <v>21032017</v>
      </c>
      <c r="C38" s="21" t="s">
        <v>66</v>
      </c>
      <c r="D38" s="21"/>
      <c r="E38" s="22">
        <v>0</v>
      </c>
      <c r="F38" s="23" t="s">
        <v>175</v>
      </c>
      <c r="G38" s="5" t="s">
        <v>7</v>
      </c>
      <c r="H38" s="5" t="s">
        <v>138</v>
      </c>
      <c r="I38" s="5" t="s">
        <v>8</v>
      </c>
      <c r="J38" s="7">
        <v>5000</v>
      </c>
      <c r="K38" s="5"/>
      <c r="L38" s="5">
        <v>20000</v>
      </c>
      <c r="M38" s="5"/>
    </row>
    <row r="39" spans="1:13" x14ac:dyDescent="0.25">
      <c r="A39" s="21"/>
      <c r="B39" s="21">
        <v>30150000</v>
      </c>
      <c r="C39" s="21" t="s">
        <v>67</v>
      </c>
      <c r="D39" s="21"/>
      <c r="E39" s="22">
        <v>1000</v>
      </c>
      <c r="F39" s="23" t="s">
        <v>175</v>
      </c>
      <c r="G39" s="5" t="s">
        <v>7</v>
      </c>
      <c r="H39" s="5" t="s">
        <v>32</v>
      </c>
      <c r="I39" s="5" t="s">
        <v>33</v>
      </c>
      <c r="J39" s="7">
        <v>3000</v>
      </c>
      <c r="K39" s="5"/>
      <c r="L39" s="5">
        <v>84000</v>
      </c>
      <c r="M39" s="5"/>
    </row>
    <row r="40" spans="1:13" x14ac:dyDescent="0.25">
      <c r="A40" s="21"/>
      <c r="B40" s="21">
        <v>10882017</v>
      </c>
      <c r="C40" s="21" t="s">
        <v>140</v>
      </c>
      <c r="D40" s="21"/>
      <c r="E40" s="22">
        <v>0</v>
      </c>
      <c r="F40" s="23" t="s">
        <v>175</v>
      </c>
      <c r="G40" s="5" t="s">
        <v>7</v>
      </c>
      <c r="H40" s="5" t="s">
        <v>32</v>
      </c>
      <c r="I40" s="5" t="s">
        <v>9</v>
      </c>
      <c r="J40" s="7">
        <v>3000</v>
      </c>
      <c r="K40" s="5"/>
      <c r="L40" s="5">
        <v>18000</v>
      </c>
      <c r="M40" s="5"/>
    </row>
    <row r="41" spans="1:13" x14ac:dyDescent="0.25">
      <c r="A41" s="21"/>
      <c r="B41" s="21">
        <v>10242004</v>
      </c>
      <c r="C41" s="21" t="s">
        <v>68</v>
      </c>
      <c r="D41" s="21"/>
      <c r="E41" s="22">
        <v>1000</v>
      </c>
      <c r="F41" s="23" t="s">
        <v>175</v>
      </c>
      <c r="G41" s="5" t="s">
        <v>7</v>
      </c>
      <c r="H41" s="5" t="s">
        <v>32</v>
      </c>
      <c r="I41" s="5" t="s">
        <v>3</v>
      </c>
      <c r="J41" s="7">
        <v>3000</v>
      </c>
      <c r="K41" s="5"/>
      <c r="L41" s="5">
        <v>34000</v>
      </c>
      <c r="M41" s="5"/>
    </row>
    <row r="42" spans="1:13" x14ac:dyDescent="0.25">
      <c r="A42" s="21"/>
      <c r="B42" s="21">
        <v>20922016</v>
      </c>
      <c r="C42" s="21" t="s">
        <v>69</v>
      </c>
      <c r="D42" s="21"/>
      <c r="E42" s="22">
        <v>0</v>
      </c>
      <c r="F42" s="23" t="s">
        <v>175</v>
      </c>
      <c r="G42" s="5" t="s">
        <v>7</v>
      </c>
      <c r="H42" s="5" t="s">
        <v>32</v>
      </c>
      <c r="I42" s="5" t="s">
        <v>6</v>
      </c>
      <c r="J42" s="7">
        <v>4000</v>
      </c>
      <c r="K42" s="5"/>
      <c r="L42" s="5">
        <v>22000</v>
      </c>
      <c r="M42" s="5"/>
    </row>
    <row r="43" spans="1:13" x14ac:dyDescent="0.25">
      <c r="A43" s="21"/>
      <c r="B43" s="21">
        <v>10852017</v>
      </c>
      <c r="C43" s="21" t="s">
        <v>70</v>
      </c>
      <c r="D43" s="21"/>
      <c r="E43" s="22">
        <v>2000</v>
      </c>
      <c r="F43" s="23" t="s">
        <v>175</v>
      </c>
      <c r="G43" s="5" t="s">
        <v>7</v>
      </c>
      <c r="H43" s="5" t="s">
        <v>32</v>
      </c>
      <c r="I43" s="5" t="s">
        <v>3</v>
      </c>
      <c r="J43" s="7">
        <v>1000</v>
      </c>
      <c r="K43" s="5"/>
      <c r="L43" s="5">
        <v>28000</v>
      </c>
      <c r="M43" s="5"/>
    </row>
    <row r="44" spans="1:13" x14ac:dyDescent="0.25">
      <c r="A44" s="21"/>
      <c r="B44" s="21">
        <v>20242005</v>
      </c>
      <c r="C44" s="21" t="s">
        <v>71</v>
      </c>
      <c r="D44" s="21"/>
      <c r="E44" s="22">
        <v>1000</v>
      </c>
      <c r="F44" s="23" t="s">
        <v>175</v>
      </c>
      <c r="G44" s="5" t="s">
        <v>7</v>
      </c>
      <c r="H44" s="5" t="s">
        <v>32</v>
      </c>
      <c r="I44" s="5" t="s">
        <v>5</v>
      </c>
      <c r="J44" s="7">
        <v>3000</v>
      </c>
      <c r="K44" s="5"/>
      <c r="L44" s="5">
        <v>32000</v>
      </c>
      <c r="M44" s="5"/>
    </row>
    <row r="45" spans="1:13" x14ac:dyDescent="0.25">
      <c r="A45" s="21"/>
      <c r="B45" s="21">
        <v>10982017</v>
      </c>
      <c r="C45" s="21" t="s">
        <v>72</v>
      </c>
      <c r="D45" s="21"/>
      <c r="E45" s="22">
        <v>0</v>
      </c>
      <c r="F45" s="23" t="s">
        <v>175</v>
      </c>
      <c r="G45" s="5" t="s">
        <v>7</v>
      </c>
      <c r="H45" s="5" t="s">
        <v>32</v>
      </c>
      <c r="I45" s="5" t="s">
        <v>142</v>
      </c>
      <c r="J45" s="7">
        <v>5000</v>
      </c>
      <c r="K45" s="5"/>
      <c r="L45" s="5">
        <v>20000</v>
      </c>
      <c r="M45" s="5"/>
    </row>
    <row r="46" spans="1:13" x14ac:dyDescent="0.25">
      <c r="A46" s="21"/>
      <c r="B46" s="21">
        <v>21272018</v>
      </c>
      <c r="C46" s="21" t="s">
        <v>73</v>
      </c>
      <c r="D46" s="21"/>
      <c r="E46" s="22">
        <v>0</v>
      </c>
      <c r="F46" s="23" t="s">
        <v>175</v>
      </c>
      <c r="G46" s="5" t="s">
        <v>7</v>
      </c>
      <c r="H46" s="5" t="s">
        <v>32</v>
      </c>
      <c r="I46" s="5" t="s">
        <v>8</v>
      </c>
      <c r="J46" s="7">
        <v>0</v>
      </c>
      <c r="K46" s="5"/>
      <c r="L46" s="5">
        <v>15000</v>
      </c>
      <c r="M46" s="5"/>
    </row>
    <row r="47" spans="1:13" x14ac:dyDescent="0.25">
      <c r="A47" s="21"/>
      <c r="B47" s="21">
        <v>10762016</v>
      </c>
      <c r="C47" s="21" t="s">
        <v>74</v>
      </c>
      <c r="D47" s="21"/>
      <c r="E47" s="22">
        <v>2000</v>
      </c>
      <c r="F47" s="23" t="s">
        <v>175</v>
      </c>
      <c r="G47" s="5" t="s">
        <v>7</v>
      </c>
      <c r="H47" s="5" t="s">
        <v>146</v>
      </c>
      <c r="I47" s="5" t="s">
        <v>5</v>
      </c>
      <c r="J47" s="7">
        <v>6000</v>
      </c>
      <c r="K47" s="5"/>
      <c r="L47" s="5">
        <v>26000</v>
      </c>
      <c r="M47" s="5"/>
    </row>
    <row r="48" spans="1:13" x14ac:dyDescent="0.25">
      <c r="A48" s="21"/>
      <c r="B48" s="21">
        <v>21002017</v>
      </c>
      <c r="C48" s="21" t="s">
        <v>143</v>
      </c>
      <c r="D48" s="21"/>
      <c r="E48" s="22"/>
      <c r="F48" s="23" t="s">
        <v>175</v>
      </c>
      <c r="G48" s="5" t="s">
        <v>7</v>
      </c>
      <c r="H48" s="5" t="s">
        <v>146</v>
      </c>
      <c r="I48" s="5" t="s">
        <v>147</v>
      </c>
      <c r="J48" s="7">
        <v>2000</v>
      </c>
      <c r="K48" s="5"/>
      <c r="L48" s="5">
        <v>40000</v>
      </c>
      <c r="M48" s="5"/>
    </row>
    <row r="49" spans="1:13" x14ac:dyDescent="0.25">
      <c r="A49" s="21"/>
      <c r="B49" s="21">
        <v>21052017</v>
      </c>
      <c r="C49" s="21" t="s">
        <v>144</v>
      </c>
      <c r="D49" s="21"/>
      <c r="E49" s="22">
        <v>10000</v>
      </c>
      <c r="F49" s="23" t="s">
        <v>175</v>
      </c>
      <c r="G49" s="5" t="s">
        <v>7</v>
      </c>
      <c r="H49" s="5" t="s">
        <v>146</v>
      </c>
      <c r="I49" s="5" t="s">
        <v>147</v>
      </c>
      <c r="J49" s="7">
        <v>3000</v>
      </c>
      <c r="K49" s="5"/>
      <c r="L49" s="5">
        <v>40000</v>
      </c>
      <c r="M49" s="5"/>
    </row>
    <row r="50" spans="1:13" x14ac:dyDescent="0.25">
      <c r="A50" s="21"/>
      <c r="B50" s="21">
        <v>21202018</v>
      </c>
      <c r="C50" s="21" t="s">
        <v>145</v>
      </c>
      <c r="D50" s="21"/>
      <c r="E50" s="22">
        <v>0</v>
      </c>
      <c r="F50" s="23" t="s">
        <v>175</v>
      </c>
      <c r="G50" s="5" t="s">
        <v>7</v>
      </c>
      <c r="H50" s="5" t="s">
        <v>146</v>
      </c>
      <c r="I50" s="5" t="s">
        <v>3</v>
      </c>
      <c r="J50" s="7">
        <v>0</v>
      </c>
      <c r="K50" s="5"/>
      <c r="L50" s="5">
        <v>37000</v>
      </c>
      <c r="M50" s="5"/>
    </row>
    <row r="51" spans="1:13" x14ac:dyDescent="0.25">
      <c r="A51" s="21"/>
      <c r="B51" s="21">
        <v>20072000</v>
      </c>
      <c r="C51" s="21" t="s">
        <v>75</v>
      </c>
      <c r="D51" s="21"/>
      <c r="E51" s="22">
        <v>2000</v>
      </c>
      <c r="F51" s="23" t="s">
        <v>175</v>
      </c>
      <c r="G51" s="5" t="s">
        <v>7</v>
      </c>
      <c r="H51" s="5" t="s">
        <v>19</v>
      </c>
      <c r="I51" s="5" t="s">
        <v>139</v>
      </c>
      <c r="J51" s="7">
        <v>3000</v>
      </c>
      <c r="K51" s="5"/>
      <c r="L51" s="5">
        <v>55000</v>
      </c>
      <c r="M51" s="5"/>
    </row>
    <row r="52" spans="1:13" x14ac:dyDescent="0.25">
      <c r="A52" s="21"/>
      <c r="B52" s="21">
        <v>10092005</v>
      </c>
      <c r="C52" s="21" t="s">
        <v>76</v>
      </c>
      <c r="D52" s="21"/>
      <c r="E52" s="22">
        <v>1000</v>
      </c>
      <c r="F52" s="23" t="s">
        <v>175</v>
      </c>
      <c r="G52" s="5" t="s">
        <v>7</v>
      </c>
      <c r="H52" s="5" t="s">
        <v>19</v>
      </c>
      <c r="I52" s="5" t="s">
        <v>4</v>
      </c>
      <c r="J52" s="7">
        <v>3000</v>
      </c>
      <c r="K52" s="5"/>
      <c r="L52" s="5">
        <v>47000</v>
      </c>
      <c r="M52" s="5"/>
    </row>
    <row r="53" spans="1:13" x14ac:dyDescent="0.25">
      <c r="A53" s="21"/>
      <c r="B53" s="21">
        <v>20122009</v>
      </c>
      <c r="C53" s="21" t="s">
        <v>77</v>
      </c>
      <c r="D53" s="21"/>
      <c r="E53" s="22">
        <v>1000</v>
      </c>
      <c r="F53" s="23" t="s">
        <v>175</v>
      </c>
      <c r="G53" s="5" t="s">
        <v>7</v>
      </c>
      <c r="H53" s="5" t="s">
        <v>19</v>
      </c>
      <c r="I53" s="5" t="s">
        <v>9</v>
      </c>
      <c r="J53" s="7">
        <v>3000</v>
      </c>
      <c r="K53" s="5" t="s">
        <v>6</v>
      </c>
      <c r="L53" s="5">
        <v>35000</v>
      </c>
      <c r="M53" s="5"/>
    </row>
    <row r="54" spans="1:13" x14ac:dyDescent="0.25">
      <c r="A54" s="21"/>
      <c r="B54" s="21">
        <v>21142017</v>
      </c>
      <c r="C54" s="21" t="s">
        <v>78</v>
      </c>
      <c r="D54" s="21"/>
      <c r="E54" s="22">
        <v>5000</v>
      </c>
      <c r="F54" s="23" t="s">
        <v>175</v>
      </c>
      <c r="G54" s="5" t="s">
        <v>7</v>
      </c>
      <c r="H54" s="5" t="s">
        <v>19</v>
      </c>
      <c r="I54" s="5" t="s">
        <v>6</v>
      </c>
      <c r="J54" s="7">
        <v>7000</v>
      </c>
      <c r="K54" s="5"/>
      <c r="L54" s="5">
        <v>22000</v>
      </c>
      <c r="M54" s="5"/>
    </row>
    <row r="55" spans="1:13" x14ac:dyDescent="0.25">
      <c r="A55" s="21"/>
      <c r="B55" s="21">
        <v>10542014</v>
      </c>
      <c r="C55" s="21" t="s">
        <v>79</v>
      </c>
      <c r="D55" s="21"/>
      <c r="E55" s="22">
        <v>2000</v>
      </c>
      <c r="F55" s="23" t="s">
        <v>175</v>
      </c>
      <c r="G55" s="5" t="s">
        <v>7</v>
      </c>
      <c r="H55" s="5" t="s">
        <v>19</v>
      </c>
      <c r="I55" s="5" t="s">
        <v>3</v>
      </c>
      <c r="J55" s="7">
        <v>5000</v>
      </c>
      <c r="K55" s="5"/>
      <c r="L55" s="5">
        <v>25000</v>
      </c>
      <c r="M55" s="5"/>
    </row>
    <row r="56" spans="1:13" x14ac:dyDescent="0.25">
      <c r="A56" s="21"/>
      <c r="B56" s="21">
        <v>10192011</v>
      </c>
      <c r="C56" s="21" t="s">
        <v>80</v>
      </c>
      <c r="D56" s="21"/>
      <c r="E56" s="22">
        <v>1000</v>
      </c>
      <c r="F56" s="23" t="s">
        <v>175</v>
      </c>
      <c r="G56" s="5" t="s">
        <v>7</v>
      </c>
      <c r="H56" s="5" t="s">
        <v>19</v>
      </c>
      <c r="I56" s="5" t="s">
        <v>9</v>
      </c>
      <c r="J56" s="7">
        <v>5000</v>
      </c>
      <c r="K56" s="5" t="s">
        <v>6</v>
      </c>
      <c r="L56" s="5">
        <v>27000</v>
      </c>
      <c r="M56" s="5"/>
    </row>
    <row r="57" spans="1:13" x14ac:dyDescent="0.25">
      <c r="A57" s="21"/>
      <c r="B57" s="21">
        <v>20062000</v>
      </c>
      <c r="C57" s="21" t="s">
        <v>81</v>
      </c>
      <c r="D57" s="21"/>
      <c r="E57" s="22">
        <v>0</v>
      </c>
      <c r="F57" s="23" t="s">
        <v>175</v>
      </c>
      <c r="G57" s="5" t="s">
        <v>7</v>
      </c>
      <c r="H57" s="5" t="s">
        <v>19</v>
      </c>
      <c r="I57" s="5" t="s">
        <v>139</v>
      </c>
      <c r="J57" s="7">
        <v>3000</v>
      </c>
      <c r="K57" s="5"/>
      <c r="L57" s="5">
        <v>63000</v>
      </c>
      <c r="M57" s="5"/>
    </row>
    <row r="58" spans="1:13" x14ac:dyDescent="0.25">
      <c r="A58" s="21"/>
      <c r="B58" s="21">
        <v>10112004</v>
      </c>
      <c r="C58" s="21" t="s">
        <v>148</v>
      </c>
      <c r="D58" s="21"/>
      <c r="E58" s="22">
        <v>1000</v>
      </c>
      <c r="F58" s="23" t="s">
        <v>175</v>
      </c>
      <c r="G58" s="5" t="s">
        <v>7</v>
      </c>
      <c r="H58" s="5" t="s">
        <v>19</v>
      </c>
      <c r="I58" s="5" t="s">
        <v>3</v>
      </c>
      <c r="J58" s="7">
        <v>3000</v>
      </c>
      <c r="K58" s="5"/>
      <c r="L58" s="5">
        <v>35000</v>
      </c>
      <c r="M58" s="5"/>
    </row>
    <row r="59" spans="1:13" x14ac:dyDescent="0.25">
      <c r="A59" s="21"/>
      <c r="B59" s="21">
        <v>20172012</v>
      </c>
      <c r="C59" s="21" t="s">
        <v>82</v>
      </c>
      <c r="D59" s="21"/>
      <c r="E59" s="22">
        <v>2000</v>
      </c>
      <c r="F59" s="23" t="s">
        <v>175</v>
      </c>
      <c r="G59" s="5" t="s">
        <v>7</v>
      </c>
      <c r="H59" s="5" t="s">
        <v>19</v>
      </c>
      <c r="I59" s="5" t="s">
        <v>3</v>
      </c>
      <c r="J59" s="7">
        <v>3000</v>
      </c>
      <c r="K59" s="5"/>
      <c r="L59" s="5">
        <v>26000</v>
      </c>
      <c r="M59" s="5"/>
    </row>
    <row r="60" spans="1:13" x14ac:dyDescent="0.25">
      <c r="A60" s="21"/>
      <c r="B60" s="21">
        <v>20152010</v>
      </c>
      <c r="C60" s="21" t="s">
        <v>83</v>
      </c>
      <c r="D60" s="21"/>
      <c r="E60" s="22">
        <v>1000</v>
      </c>
      <c r="F60" s="23" t="s">
        <v>175</v>
      </c>
      <c r="G60" s="5" t="s">
        <v>7</v>
      </c>
      <c r="H60" s="5" t="s">
        <v>19</v>
      </c>
      <c r="I60" s="5" t="s">
        <v>3</v>
      </c>
      <c r="J60" s="7">
        <v>3000</v>
      </c>
      <c r="K60" s="5"/>
      <c r="L60" s="5">
        <v>25000</v>
      </c>
      <c r="M60" s="5"/>
    </row>
    <row r="61" spans="1:13" x14ac:dyDescent="0.25">
      <c r="A61" s="21"/>
      <c r="B61" s="21">
        <v>21312018</v>
      </c>
      <c r="C61" s="21" t="s">
        <v>193</v>
      </c>
      <c r="D61" s="21"/>
      <c r="E61" s="22">
        <v>0</v>
      </c>
      <c r="F61" s="23" t="s">
        <v>174</v>
      </c>
      <c r="G61" s="5" t="s">
        <v>174</v>
      </c>
      <c r="H61" s="5" t="s">
        <v>174</v>
      </c>
      <c r="I61" s="5" t="s">
        <v>174</v>
      </c>
      <c r="J61" s="7">
        <v>0</v>
      </c>
      <c r="K61" s="5" t="s">
        <v>174</v>
      </c>
      <c r="L61" s="5">
        <v>0</v>
      </c>
      <c r="M61" s="5"/>
    </row>
    <row r="62" spans="1:13" x14ac:dyDescent="0.25">
      <c r="A62" s="21"/>
      <c r="B62" s="21">
        <v>10202011</v>
      </c>
      <c r="C62" s="21" t="s">
        <v>149</v>
      </c>
      <c r="D62" s="21"/>
      <c r="E62" s="22">
        <v>1000</v>
      </c>
      <c r="F62" s="23" t="s">
        <v>175</v>
      </c>
      <c r="G62" s="5" t="s">
        <v>7</v>
      </c>
      <c r="H62" s="5" t="s">
        <v>19</v>
      </c>
      <c r="I62" s="5" t="s">
        <v>3</v>
      </c>
      <c r="J62" s="7">
        <v>3000</v>
      </c>
      <c r="K62" s="5"/>
      <c r="L62" s="5">
        <v>22000</v>
      </c>
      <c r="M62" s="5"/>
    </row>
    <row r="63" spans="1:13" x14ac:dyDescent="0.25">
      <c r="A63" s="21"/>
      <c r="B63" s="21">
        <v>10212011</v>
      </c>
      <c r="C63" s="21" t="s">
        <v>84</v>
      </c>
      <c r="D63" s="21"/>
      <c r="E63" s="22">
        <v>1000</v>
      </c>
      <c r="F63" s="23" t="s">
        <v>175</v>
      </c>
      <c r="G63" s="5" t="s">
        <v>7</v>
      </c>
      <c r="H63" s="5" t="s">
        <v>19</v>
      </c>
      <c r="I63" s="5" t="s">
        <v>9</v>
      </c>
      <c r="J63" s="7">
        <v>3000</v>
      </c>
      <c r="K63" s="5"/>
      <c r="L63" s="5">
        <v>22000</v>
      </c>
      <c r="M63" s="5"/>
    </row>
    <row r="64" spans="1:13" x14ac:dyDescent="0.25">
      <c r="A64" s="21"/>
      <c r="B64" s="21">
        <v>10222012</v>
      </c>
      <c r="C64" s="24" t="str">
        <f>VLOOKUP(B64,[1]BTL!$C:$J,8,FALSE)</f>
        <v>Ashiqur Rahman Robin</v>
      </c>
      <c r="D64" s="24"/>
      <c r="E64" s="22">
        <v>1000</v>
      </c>
      <c r="F64" s="23" t="s">
        <v>175</v>
      </c>
      <c r="G64" s="5" t="s">
        <v>7</v>
      </c>
      <c r="H64" s="5" t="s">
        <v>19</v>
      </c>
      <c r="I64" s="5" t="s">
        <v>9</v>
      </c>
      <c r="J64" s="7">
        <v>3000</v>
      </c>
      <c r="K64" s="5"/>
      <c r="L64" s="5">
        <v>22000</v>
      </c>
      <c r="M64" s="5"/>
    </row>
    <row r="65" spans="1:13" x14ac:dyDescent="0.25">
      <c r="A65" s="21"/>
      <c r="B65" s="21">
        <v>10522014</v>
      </c>
      <c r="C65" s="21" t="s">
        <v>85</v>
      </c>
      <c r="D65" s="21"/>
      <c r="E65" s="22">
        <v>1000</v>
      </c>
      <c r="F65" s="23" t="s">
        <v>175</v>
      </c>
      <c r="G65" s="5" t="s">
        <v>7</v>
      </c>
      <c r="H65" s="5" t="s">
        <v>19</v>
      </c>
      <c r="I65" s="5" t="s">
        <v>9</v>
      </c>
      <c r="J65" s="7">
        <v>3000</v>
      </c>
      <c r="K65" s="5"/>
      <c r="L65" s="5">
        <v>20000</v>
      </c>
      <c r="M65" s="5"/>
    </row>
    <row r="66" spans="1:13" x14ac:dyDescent="0.25">
      <c r="A66" s="21"/>
      <c r="B66" s="21">
        <v>20892017</v>
      </c>
      <c r="C66" s="21" t="s">
        <v>86</v>
      </c>
      <c r="D66" s="21"/>
      <c r="E66" s="22">
        <v>0</v>
      </c>
      <c r="F66" s="23" t="s">
        <v>175</v>
      </c>
      <c r="G66" s="5" t="s">
        <v>7</v>
      </c>
      <c r="H66" s="5" t="s">
        <v>19</v>
      </c>
      <c r="I66" s="5" t="s">
        <v>35</v>
      </c>
      <c r="J66" s="7">
        <v>3000</v>
      </c>
      <c r="K66" s="5"/>
      <c r="L66" s="5">
        <v>15000</v>
      </c>
      <c r="M66" s="5"/>
    </row>
    <row r="67" spans="1:13" x14ac:dyDescent="0.25">
      <c r="A67" s="21"/>
      <c r="B67" s="21">
        <v>10602007</v>
      </c>
      <c r="C67" s="21" t="s">
        <v>87</v>
      </c>
      <c r="D67" s="21"/>
      <c r="E67" s="22">
        <v>1000</v>
      </c>
      <c r="F67" s="23" t="s">
        <v>175</v>
      </c>
      <c r="G67" s="5" t="s">
        <v>7</v>
      </c>
      <c r="H67" s="5" t="s">
        <v>19</v>
      </c>
      <c r="I67" s="5" t="s">
        <v>27</v>
      </c>
      <c r="J67" s="7">
        <v>2000</v>
      </c>
      <c r="K67" s="5"/>
      <c r="L67" s="5">
        <v>18000</v>
      </c>
      <c r="M67" s="5"/>
    </row>
    <row r="68" spans="1:13" x14ac:dyDescent="0.25">
      <c r="A68" s="21"/>
      <c r="B68" s="21">
        <v>21182018</v>
      </c>
      <c r="C68" s="21" t="s">
        <v>88</v>
      </c>
      <c r="D68" s="21"/>
      <c r="E68" s="22">
        <v>0</v>
      </c>
      <c r="F68" s="23" t="s">
        <v>175</v>
      </c>
      <c r="G68" s="5" t="s">
        <v>7</v>
      </c>
      <c r="H68" s="5" t="s">
        <v>19</v>
      </c>
      <c r="I68" s="5" t="s">
        <v>3</v>
      </c>
      <c r="J68" s="7">
        <v>2000</v>
      </c>
      <c r="K68" s="5"/>
      <c r="L68" s="5">
        <v>17000</v>
      </c>
      <c r="M68" s="5"/>
    </row>
    <row r="69" spans="1:13" x14ac:dyDescent="0.25">
      <c r="A69" s="21"/>
      <c r="B69" s="21">
        <v>10022004</v>
      </c>
      <c r="C69" s="21" t="s">
        <v>89</v>
      </c>
      <c r="D69" s="21"/>
      <c r="E69" s="22">
        <v>0</v>
      </c>
      <c r="F69" s="23" t="s">
        <v>175</v>
      </c>
      <c r="G69" s="5" t="s">
        <v>7</v>
      </c>
      <c r="H69" s="5" t="s">
        <v>19</v>
      </c>
      <c r="I69" s="5" t="s">
        <v>151</v>
      </c>
      <c r="J69" s="7">
        <v>0</v>
      </c>
      <c r="K69" s="5"/>
      <c r="L69" s="5">
        <v>175000</v>
      </c>
      <c r="M69" s="5"/>
    </row>
    <row r="70" spans="1:13" x14ac:dyDescent="0.25">
      <c r="A70" s="21"/>
      <c r="B70" s="21">
        <v>20102008</v>
      </c>
      <c r="C70" s="21" t="s">
        <v>90</v>
      </c>
      <c r="D70" s="21"/>
      <c r="E70" s="22">
        <v>5000</v>
      </c>
      <c r="F70" s="23" t="s">
        <v>175</v>
      </c>
      <c r="G70" s="5" t="s">
        <v>7</v>
      </c>
      <c r="H70" s="5" t="s">
        <v>19</v>
      </c>
      <c r="I70" s="5" t="s">
        <v>139</v>
      </c>
      <c r="J70" s="7">
        <v>10000</v>
      </c>
      <c r="K70" s="5"/>
      <c r="L70" s="5">
        <v>60000</v>
      </c>
      <c r="M70" s="5"/>
    </row>
    <row r="71" spans="1:13" x14ac:dyDescent="0.25">
      <c r="A71" s="21"/>
      <c r="B71" s="21">
        <v>20142012</v>
      </c>
      <c r="C71" s="21" t="s">
        <v>91</v>
      </c>
      <c r="D71" s="21"/>
      <c r="E71" s="22">
        <v>2000</v>
      </c>
      <c r="F71" s="23" t="s">
        <v>175</v>
      </c>
      <c r="G71" s="5" t="s">
        <v>7</v>
      </c>
      <c r="H71" s="5" t="s">
        <v>19</v>
      </c>
      <c r="I71" s="5" t="s">
        <v>3</v>
      </c>
      <c r="J71" s="7">
        <v>7000</v>
      </c>
      <c r="K71" s="5"/>
      <c r="L71" s="5">
        <v>35000</v>
      </c>
      <c r="M71" s="5"/>
    </row>
    <row r="72" spans="1:13" x14ac:dyDescent="0.25">
      <c r="A72" s="21"/>
      <c r="B72" s="21">
        <v>21162017</v>
      </c>
      <c r="C72" s="21" t="s">
        <v>92</v>
      </c>
      <c r="D72" s="21"/>
      <c r="E72" s="22">
        <v>0</v>
      </c>
      <c r="F72" s="23" t="s">
        <v>175</v>
      </c>
      <c r="G72" s="5" t="s">
        <v>7</v>
      </c>
      <c r="H72" s="5" t="s">
        <v>19</v>
      </c>
      <c r="I72" s="5" t="s">
        <v>8</v>
      </c>
      <c r="J72" s="7">
        <v>5000</v>
      </c>
      <c r="K72" s="5"/>
      <c r="L72" s="5">
        <v>25000</v>
      </c>
      <c r="M72" s="5"/>
    </row>
    <row r="73" spans="1:13" x14ac:dyDescent="0.25">
      <c r="A73" s="21"/>
      <c r="B73" s="21">
        <v>20762016</v>
      </c>
      <c r="C73" s="21" t="s">
        <v>150</v>
      </c>
      <c r="D73" s="21"/>
      <c r="E73" s="22">
        <v>3000</v>
      </c>
      <c r="F73" s="23" t="s">
        <v>175</v>
      </c>
      <c r="G73" s="5" t="s">
        <v>7</v>
      </c>
      <c r="H73" s="5" t="s">
        <v>19</v>
      </c>
      <c r="I73" s="5" t="s">
        <v>9</v>
      </c>
      <c r="J73" s="7">
        <v>5000</v>
      </c>
      <c r="K73" s="5" t="s">
        <v>6</v>
      </c>
      <c r="L73" s="5">
        <v>25000</v>
      </c>
      <c r="M73" s="5"/>
    </row>
    <row r="74" spans="1:13" x14ac:dyDescent="0.25">
      <c r="A74" s="21"/>
      <c r="B74" s="21">
        <v>11262018</v>
      </c>
      <c r="C74" s="21" t="s">
        <v>186</v>
      </c>
      <c r="D74" s="21"/>
      <c r="E74" s="22">
        <v>0</v>
      </c>
      <c r="F74" s="23" t="s">
        <v>174</v>
      </c>
      <c r="G74" s="5" t="s">
        <v>174</v>
      </c>
      <c r="H74" s="5" t="s">
        <v>174</v>
      </c>
      <c r="I74" s="5" t="s">
        <v>174</v>
      </c>
      <c r="J74" s="7">
        <v>0</v>
      </c>
      <c r="K74" s="5" t="s">
        <v>174</v>
      </c>
      <c r="L74" s="5">
        <v>0</v>
      </c>
      <c r="M74" s="5"/>
    </row>
    <row r="75" spans="1:13" x14ac:dyDescent="0.25">
      <c r="A75" s="21"/>
      <c r="B75" s="21">
        <v>11132018</v>
      </c>
      <c r="C75" s="21" t="s">
        <v>185</v>
      </c>
      <c r="D75" s="21"/>
      <c r="E75" s="22">
        <v>0</v>
      </c>
      <c r="F75" s="23" t="s">
        <v>174</v>
      </c>
      <c r="G75" s="5" t="s">
        <v>174</v>
      </c>
      <c r="H75" s="5" t="s">
        <v>174</v>
      </c>
      <c r="I75" s="5" t="s">
        <v>174</v>
      </c>
      <c r="J75" s="7">
        <v>0</v>
      </c>
      <c r="K75" s="5" t="s">
        <v>174</v>
      </c>
      <c r="L75" s="5">
        <v>0</v>
      </c>
      <c r="M75" s="5"/>
    </row>
    <row r="76" spans="1:13" x14ac:dyDescent="0.25">
      <c r="A76" s="21"/>
      <c r="B76" s="21">
        <v>10182011</v>
      </c>
      <c r="C76" s="21" t="s">
        <v>152</v>
      </c>
      <c r="D76" s="21"/>
      <c r="E76" s="22">
        <v>3000</v>
      </c>
      <c r="F76" s="23" t="s">
        <v>175</v>
      </c>
      <c r="G76" s="5" t="s">
        <v>7</v>
      </c>
      <c r="H76" s="5" t="s">
        <v>19</v>
      </c>
      <c r="I76" s="5" t="s">
        <v>9</v>
      </c>
      <c r="J76" s="7">
        <v>6000</v>
      </c>
      <c r="K76" s="5"/>
      <c r="L76" s="5">
        <v>34000</v>
      </c>
      <c r="M76" s="5"/>
    </row>
    <row r="77" spans="1:13" x14ac:dyDescent="0.25">
      <c r="A77" s="21"/>
      <c r="B77" s="21">
        <v>20542015</v>
      </c>
      <c r="C77" s="21" t="s">
        <v>153</v>
      </c>
      <c r="D77" s="21"/>
      <c r="E77" s="22">
        <v>2000</v>
      </c>
      <c r="F77" s="23" t="s">
        <v>175</v>
      </c>
      <c r="G77" s="5" t="s">
        <v>7</v>
      </c>
      <c r="H77" s="5" t="s">
        <v>19</v>
      </c>
      <c r="I77" s="5" t="s">
        <v>9</v>
      </c>
      <c r="J77" s="7">
        <v>5000</v>
      </c>
      <c r="K77" s="5"/>
      <c r="L77" s="5">
        <v>27000</v>
      </c>
      <c r="M77" s="5"/>
    </row>
    <row r="78" spans="1:13" x14ac:dyDescent="0.25">
      <c r="A78" s="21"/>
      <c r="B78" s="21">
        <v>10152009</v>
      </c>
      <c r="C78" s="21" t="s">
        <v>93</v>
      </c>
      <c r="D78" s="21"/>
      <c r="E78" s="22">
        <v>1000</v>
      </c>
      <c r="F78" s="23" t="s">
        <v>175</v>
      </c>
      <c r="G78" s="5" t="s">
        <v>7</v>
      </c>
      <c r="H78" s="5" t="s">
        <v>19</v>
      </c>
      <c r="I78" s="5" t="s">
        <v>9</v>
      </c>
      <c r="J78" s="7">
        <v>4000</v>
      </c>
      <c r="K78" s="5"/>
      <c r="L78" s="5">
        <v>29000</v>
      </c>
      <c r="M78" s="5"/>
    </row>
    <row r="79" spans="1:13" x14ac:dyDescent="0.25">
      <c r="A79" s="21"/>
      <c r="B79" s="21">
        <v>20162010</v>
      </c>
      <c r="C79" s="21" t="s">
        <v>94</v>
      </c>
      <c r="D79" s="21"/>
      <c r="E79" s="22">
        <v>2000</v>
      </c>
      <c r="F79" s="23" t="s">
        <v>175</v>
      </c>
      <c r="G79" s="5" t="s">
        <v>7</v>
      </c>
      <c r="H79" s="5" t="s">
        <v>19</v>
      </c>
      <c r="I79" s="5" t="s">
        <v>3</v>
      </c>
      <c r="J79" s="7">
        <v>4000</v>
      </c>
      <c r="K79" s="5"/>
      <c r="L79" s="5">
        <v>31000</v>
      </c>
      <c r="M79" s="5"/>
    </row>
    <row r="80" spans="1:13" x14ac:dyDescent="0.25">
      <c r="A80" s="21"/>
      <c r="B80" s="21">
        <v>10812016</v>
      </c>
      <c r="C80" s="21" t="s">
        <v>154</v>
      </c>
      <c r="D80" s="21"/>
      <c r="E80" s="22">
        <v>0</v>
      </c>
      <c r="F80" s="23" t="s">
        <v>175</v>
      </c>
      <c r="G80" s="5" t="s">
        <v>7</v>
      </c>
      <c r="H80" s="5" t="s">
        <v>19</v>
      </c>
      <c r="I80" s="5" t="s">
        <v>6</v>
      </c>
      <c r="J80" s="7">
        <v>6000</v>
      </c>
      <c r="K80" s="5"/>
      <c r="L80" s="5">
        <v>16000</v>
      </c>
      <c r="M80" s="5"/>
    </row>
    <row r="81" spans="1:13" x14ac:dyDescent="0.25">
      <c r="A81" s="21"/>
      <c r="B81" s="21">
        <v>20822016</v>
      </c>
      <c r="C81" s="21" t="s">
        <v>95</v>
      </c>
      <c r="D81" s="21"/>
      <c r="E81" s="22">
        <v>0</v>
      </c>
      <c r="F81" s="23" t="s">
        <v>175</v>
      </c>
      <c r="G81" s="5" t="s">
        <v>7</v>
      </c>
      <c r="H81" s="5" t="s">
        <v>19</v>
      </c>
      <c r="I81" s="5" t="s">
        <v>6</v>
      </c>
      <c r="J81" s="7">
        <v>5000</v>
      </c>
      <c r="K81" s="5"/>
      <c r="L81" s="5">
        <v>17000</v>
      </c>
      <c r="M81" s="5"/>
    </row>
    <row r="82" spans="1:13" x14ac:dyDescent="0.25">
      <c r="A82" s="21"/>
      <c r="B82" s="21">
        <v>21222018</v>
      </c>
      <c r="C82" s="21" t="s">
        <v>96</v>
      </c>
      <c r="D82" s="21"/>
      <c r="E82" s="22">
        <v>0</v>
      </c>
      <c r="F82" s="23" t="s">
        <v>175</v>
      </c>
      <c r="G82" s="5" t="s">
        <v>7</v>
      </c>
      <c r="H82" s="5" t="s">
        <v>19</v>
      </c>
      <c r="I82" s="5" t="s">
        <v>8</v>
      </c>
      <c r="J82" s="7">
        <v>3000</v>
      </c>
      <c r="K82" s="5"/>
      <c r="L82" s="5">
        <v>23000</v>
      </c>
      <c r="M82" s="5"/>
    </row>
    <row r="83" spans="1:13" x14ac:dyDescent="0.25">
      <c r="A83" s="21"/>
      <c r="B83" s="21">
        <v>21282018</v>
      </c>
      <c r="C83" s="21" t="s">
        <v>97</v>
      </c>
      <c r="D83" s="21"/>
      <c r="E83" s="22">
        <v>0</v>
      </c>
      <c r="F83" s="23" t="s">
        <v>175</v>
      </c>
      <c r="G83" s="5" t="s">
        <v>7</v>
      </c>
      <c r="H83" s="5" t="s">
        <v>19</v>
      </c>
      <c r="I83" s="5" t="s">
        <v>8</v>
      </c>
      <c r="J83" s="7">
        <v>3000</v>
      </c>
      <c r="K83" s="5"/>
      <c r="L83" s="5">
        <v>18000</v>
      </c>
      <c r="M83" s="5"/>
    </row>
    <row r="84" spans="1:13" x14ac:dyDescent="0.25">
      <c r="A84" s="21"/>
      <c r="B84" s="21">
        <v>20462013</v>
      </c>
      <c r="C84" s="21" t="s">
        <v>98</v>
      </c>
      <c r="D84" s="21"/>
      <c r="E84" s="22">
        <v>1000</v>
      </c>
      <c r="F84" s="23" t="s">
        <v>175</v>
      </c>
      <c r="G84" s="5" t="s">
        <v>7</v>
      </c>
      <c r="H84" s="5" t="s">
        <v>19</v>
      </c>
      <c r="I84" s="5" t="s">
        <v>9</v>
      </c>
      <c r="J84" s="7">
        <v>3000</v>
      </c>
      <c r="K84" s="5"/>
      <c r="L84" s="5">
        <v>20000</v>
      </c>
      <c r="M84" s="5"/>
    </row>
    <row r="85" spans="1:13" x14ac:dyDescent="0.25">
      <c r="A85" s="21"/>
      <c r="B85" s="21">
        <v>10412012</v>
      </c>
      <c r="C85" s="21" t="s">
        <v>99</v>
      </c>
      <c r="D85" s="21"/>
      <c r="E85" s="22">
        <v>1000</v>
      </c>
      <c r="F85" s="23" t="s">
        <v>175</v>
      </c>
      <c r="G85" s="5" t="s">
        <v>7</v>
      </c>
      <c r="H85" s="5" t="s">
        <v>19</v>
      </c>
      <c r="I85" s="5" t="s">
        <v>9</v>
      </c>
      <c r="J85" s="7">
        <v>3000</v>
      </c>
      <c r="K85" s="5"/>
      <c r="L85" s="5">
        <v>21000</v>
      </c>
      <c r="M85" s="5"/>
    </row>
    <row r="86" spans="1:13" x14ac:dyDescent="0.25">
      <c r="A86" s="21"/>
      <c r="B86" s="21">
        <v>11042018</v>
      </c>
      <c r="C86" s="21" t="s">
        <v>187</v>
      </c>
      <c r="D86" s="21"/>
      <c r="E86" s="22">
        <v>0</v>
      </c>
      <c r="F86" s="23" t="s">
        <v>174</v>
      </c>
      <c r="G86" s="5" t="s">
        <v>174</v>
      </c>
      <c r="H86" s="5" t="s">
        <v>174</v>
      </c>
      <c r="I86" s="5" t="s">
        <v>174</v>
      </c>
      <c r="J86" s="7">
        <v>0</v>
      </c>
      <c r="K86" s="5" t="s">
        <v>174</v>
      </c>
      <c r="L86" s="5">
        <v>0</v>
      </c>
      <c r="M86" s="5"/>
    </row>
    <row r="87" spans="1:13" x14ac:dyDescent="0.25">
      <c r="A87" s="21"/>
      <c r="B87" s="21">
        <v>11122018</v>
      </c>
      <c r="C87" s="21" t="s">
        <v>189</v>
      </c>
      <c r="D87" s="21"/>
      <c r="E87" s="22">
        <v>0</v>
      </c>
      <c r="F87" s="23" t="s">
        <v>174</v>
      </c>
      <c r="G87" s="5" t="s">
        <v>174</v>
      </c>
      <c r="H87" s="5" t="s">
        <v>174</v>
      </c>
      <c r="I87" s="5" t="s">
        <v>174</v>
      </c>
      <c r="J87" s="7">
        <v>0</v>
      </c>
      <c r="K87" s="5" t="s">
        <v>174</v>
      </c>
      <c r="L87" s="5">
        <v>0</v>
      </c>
      <c r="M87" s="5"/>
    </row>
    <row r="88" spans="1:13" x14ac:dyDescent="0.25">
      <c r="A88" s="21"/>
      <c r="B88" s="21">
        <v>11252018</v>
      </c>
      <c r="C88" s="21" t="s">
        <v>190</v>
      </c>
      <c r="D88" s="21"/>
      <c r="E88" s="22">
        <v>0</v>
      </c>
      <c r="F88" s="23" t="s">
        <v>174</v>
      </c>
      <c r="G88" s="5" t="s">
        <v>174</v>
      </c>
      <c r="H88" s="5" t="s">
        <v>174</v>
      </c>
      <c r="I88" s="5" t="s">
        <v>174</v>
      </c>
      <c r="J88" s="7">
        <v>0</v>
      </c>
      <c r="K88" s="5" t="s">
        <v>174</v>
      </c>
      <c r="L88" s="5">
        <v>0</v>
      </c>
      <c r="M88" s="5"/>
    </row>
    <row r="89" spans="1:13" x14ac:dyDescent="0.25">
      <c r="A89" s="21"/>
      <c r="B89" s="21">
        <v>10702016</v>
      </c>
      <c r="C89" s="21" t="s">
        <v>100</v>
      </c>
      <c r="D89" s="21"/>
      <c r="E89" s="22">
        <v>5000</v>
      </c>
      <c r="F89" s="23" t="s">
        <v>175</v>
      </c>
      <c r="G89" s="5" t="s">
        <v>7</v>
      </c>
      <c r="H89" s="5" t="s">
        <v>19</v>
      </c>
      <c r="I89" s="5" t="s">
        <v>6</v>
      </c>
      <c r="J89" s="7">
        <v>4000</v>
      </c>
      <c r="K89" s="5"/>
      <c r="L89" s="5">
        <v>24000</v>
      </c>
      <c r="M89" s="5"/>
    </row>
    <row r="90" spans="1:13" x14ac:dyDescent="0.25">
      <c r="A90" s="21"/>
      <c r="B90" s="21">
        <v>10122006</v>
      </c>
      <c r="C90" s="21" t="s">
        <v>155</v>
      </c>
      <c r="D90" s="21"/>
      <c r="E90" s="22">
        <v>0</v>
      </c>
      <c r="F90" s="23" t="s">
        <v>175</v>
      </c>
      <c r="G90" s="5" t="s">
        <v>7</v>
      </c>
      <c r="H90" s="5" t="s">
        <v>19</v>
      </c>
      <c r="I90" s="5" t="s">
        <v>3</v>
      </c>
      <c r="J90" s="7">
        <v>4000</v>
      </c>
      <c r="K90" s="5"/>
      <c r="L90" s="5">
        <v>39000</v>
      </c>
      <c r="M90" s="5"/>
    </row>
    <row r="91" spans="1:13" x14ac:dyDescent="0.25">
      <c r="A91" s="21"/>
      <c r="B91" s="21">
        <v>20652014</v>
      </c>
      <c r="C91" s="25" t="s">
        <v>156</v>
      </c>
      <c r="D91" s="25"/>
      <c r="E91" s="22">
        <v>10000</v>
      </c>
      <c r="F91" s="23" t="s">
        <v>175</v>
      </c>
      <c r="G91" s="5" t="s">
        <v>7</v>
      </c>
      <c r="H91" s="5" t="s">
        <v>18</v>
      </c>
      <c r="I91" s="5" t="s">
        <v>17</v>
      </c>
      <c r="J91" s="7">
        <v>40000</v>
      </c>
      <c r="K91" s="5"/>
      <c r="L91" s="5">
        <v>150000</v>
      </c>
      <c r="M91" s="5"/>
    </row>
    <row r="92" spans="1:13" x14ac:dyDescent="0.25">
      <c r="A92" s="21"/>
      <c r="B92" s="21">
        <v>20702016</v>
      </c>
      <c r="C92" s="21" t="s">
        <v>157</v>
      </c>
      <c r="D92" s="21"/>
      <c r="E92" s="22">
        <v>0</v>
      </c>
      <c r="F92" s="23" t="s">
        <v>175</v>
      </c>
      <c r="G92" s="5" t="s">
        <v>7</v>
      </c>
      <c r="H92" s="5" t="s">
        <v>18</v>
      </c>
      <c r="I92" s="5" t="s">
        <v>9</v>
      </c>
      <c r="J92" s="7">
        <v>0</v>
      </c>
      <c r="K92" s="5"/>
      <c r="L92" s="5">
        <v>120000</v>
      </c>
      <c r="M92" s="5"/>
    </row>
    <row r="93" spans="1:13" x14ac:dyDescent="0.25">
      <c r="A93" s="21"/>
      <c r="B93" s="21">
        <v>10672016</v>
      </c>
      <c r="C93" s="21" t="s">
        <v>158</v>
      </c>
      <c r="D93" s="21"/>
      <c r="E93" s="22">
        <v>0</v>
      </c>
      <c r="F93" s="23" t="s">
        <v>175</v>
      </c>
      <c r="G93" s="5" t="s">
        <v>7</v>
      </c>
      <c r="H93" s="5" t="s">
        <v>20</v>
      </c>
      <c r="I93" s="5" t="s">
        <v>21</v>
      </c>
      <c r="J93" s="7">
        <v>2000</v>
      </c>
      <c r="K93" s="5"/>
      <c r="L93" s="5">
        <v>42000</v>
      </c>
      <c r="M93" s="5"/>
    </row>
    <row r="94" spans="1:13" x14ac:dyDescent="0.25">
      <c r="A94" s="21"/>
      <c r="B94" s="21">
        <v>10081999</v>
      </c>
      <c r="C94" s="21" t="s">
        <v>101</v>
      </c>
      <c r="D94" s="21"/>
      <c r="E94" s="22">
        <v>2000</v>
      </c>
      <c r="F94" s="23" t="s">
        <v>175</v>
      </c>
      <c r="G94" s="5" t="s">
        <v>7</v>
      </c>
      <c r="H94" s="5" t="s">
        <v>20</v>
      </c>
      <c r="I94" s="5" t="s">
        <v>9</v>
      </c>
      <c r="J94" s="7">
        <v>2000</v>
      </c>
      <c r="K94" s="5"/>
      <c r="L94" s="5">
        <v>52000</v>
      </c>
      <c r="M94" s="5"/>
    </row>
    <row r="95" spans="1:13" x14ac:dyDescent="0.25">
      <c r="A95" s="21"/>
      <c r="B95" s="21">
        <v>20912016</v>
      </c>
      <c r="C95" s="21" t="s">
        <v>102</v>
      </c>
      <c r="D95" s="21"/>
      <c r="E95" s="22">
        <v>5000</v>
      </c>
      <c r="F95" s="23" t="s">
        <v>175</v>
      </c>
      <c r="G95" s="5" t="s">
        <v>7</v>
      </c>
      <c r="H95" s="5" t="s">
        <v>20</v>
      </c>
      <c r="I95" s="5" t="s">
        <v>3</v>
      </c>
      <c r="J95" s="7">
        <v>2000</v>
      </c>
      <c r="K95" s="5"/>
      <c r="L95" s="5">
        <v>35000</v>
      </c>
      <c r="M95" s="5"/>
    </row>
    <row r="96" spans="1:13" ht="12" customHeight="1" x14ac:dyDescent="0.25">
      <c r="A96" s="21"/>
      <c r="B96" s="21">
        <v>10962017</v>
      </c>
      <c r="C96" s="21" t="s">
        <v>22</v>
      </c>
      <c r="D96" s="21"/>
      <c r="E96" s="22">
        <v>0</v>
      </c>
      <c r="F96" s="23" t="s">
        <v>175</v>
      </c>
      <c r="G96" s="5" t="s">
        <v>7</v>
      </c>
      <c r="H96" s="5" t="s">
        <v>20</v>
      </c>
      <c r="I96" s="5" t="s">
        <v>5</v>
      </c>
      <c r="J96" s="7">
        <v>0</v>
      </c>
      <c r="K96" s="5"/>
      <c r="L96" s="5">
        <v>55000</v>
      </c>
      <c r="M96" s="5"/>
    </row>
    <row r="97" spans="1:13" x14ac:dyDescent="0.25">
      <c r="A97" s="21"/>
      <c r="B97" s="21">
        <v>11242018</v>
      </c>
      <c r="C97" s="21" t="s">
        <v>196</v>
      </c>
      <c r="D97" s="21"/>
      <c r="E97" s="22">
        <v>0</v>
      </c>
      <c r="F97" s="23" t="s">
        <v>174</v>
      </c>
      <c r="G97" s="5" t="s">
        <v>174</v>
      </c>
      <c r="H97" s="5" t="s">
        <v>174</v>
      </c>
      <c r="I97" s="5" t="s">
        <v>174</v>
      </c>
      <c r="J97" s="7">
        <v>0</v>
      </c>
      <c r="K97" s="5" t="s">
        <v>174</v>
      </c>
      <c r="L97" s="5">
        <v>0</v>
      </c>
      <c r="M97" s="5"/>
    </row>
    <row r="98" spans="1:13" x14ac:dyDescent="0.25">
      <c r="A98" s="21"/>
      <c r="B98" s="21">
        <v>11002017</v>
      </c>
      <c r="C98" s="21" t="s">
        <v>23</v>
      </c>
      <c r="D98" s="21"/>
      <c r="E98" s="22">
        <v>0</v>
      </c>
      <c r="F98" s="23" t="s">
        <v>175</v>
      </c>
      <c r="G98" s="5" t="s">
        <v>7</v>
      </c>
      <c r="H98" s="5" t="s">
        <v>20</v>
      </c>
      <c r="I98" s="5" t="s">
        <v>21</v>
      </c>
      <c r="J98" s="7">
        <v>0</v>
      </c>
      <c r="K98" s="5"/>
      <c r="L98" s="5">
        <v>40000</v>
      </c>
      <c r="M98" s="5"/>
    </row>
    <row r="99" spans="1:13" x14ac:dyDescent="0.25">
      <c r="A99" s="21"/>
      <c r="B99" s="21">
        <v>10172019</v>
      </c>
      <c r="C99" s="21" t="s">
        <v>24</v>
      </c>
      <c r="D99" s="21"/>
      <c r="E99" s="22">
        <v>3000</v>
      </c>
      <c r="F99" s="23" t="s">
        <v>175</v>
      </c>
      <c r="G99" s="5" t="s">
        <v>7</v>
      </c>
      <c r="H99" s="5" t="s">
        <v>20</v>
      </c>
      <c r="I99" s="5" t="s">
        <v>25</v>
      </c>
      <c r="J99" s="7">
        <v>4000</v>
      </c>
      <c r="K99" s="5"/>
      <c r="L99" s="5">
        <v>37000</v>
      </c>
      <c r="M99" s="5"/>
    </row>
    <row r="100" spans="1:13" x14ac:dyDescent="0.25">
      <c r="A100" s="21"/>
      <c r="B100" s="21">
        <v>20862017</v>
      </c>
      <c r="C100" s="21" t="s">
        <v>103</v>
      </c>
      <c r="D100" s="21"/>
      <c r="E100" s="22">
        <v>0</v>
      </c>
      <c r="F100" s="23" t="s">
        <v>175</v>
      </c>
      <c r="G100" s="5" t="s">
        <v>7</v>
      </c>
      <c r="H100" s="5" t="s">
        <v>20</v>
      </c>
      <c r="I100" s="5" t="s">
        <v>9</v>
      </c>
      <c r="J100" s="7">
        <v>3000</v>
      </c>
      <c r="K100" s="5"/>
      <c r="L100" s="5">
        <v>18000</v>
      </c>
      <c r="M100" s="5"/>
    </row>
    <row r="101" spans="1:13" x14ac:dyDescent="0.25">
      <c r="A101" s="21"/>
      <c r="B101" s="21">
        <v>21062016</v>
      </c>
      <c r="C101" s="21" t="s">
        <v>104</v>
      </c>
      <c r="D101" s="21"/>
      <c r="E101" s="22">
        <v>1000</v>
      </c>
      <c r="F101" s="23" t="s">
        <v>175</v>
      </c>
      <c r="G101" s="5" t="s">
        <v>7</v>
      </c>
      <c r="H101" s="5" t="s">
        <v>20</v>
      </c>
      <c r="I101" s="5" t="s">
        <v>26</v>
      </c>
      <c r="J101" s="7">
        <v>2000</v>
      </c>
      <c r="K101" s="5"/>
      <c r="L101" s="5">
        <v>18000</v>
      </c>
      <c r="M101" s="5"/>
    </row>
    <row r="102" spans="1:13" x14ac:dyDescent="0.25">
      <c r="A102" s="21"/>
      <c r="B102" s="21">
        <v>11272018</v>
      </c>
      <c r="C102" s="21" t="s">
        <v>191</v>
      </c>
      <c r="D102" s="21"/>
      <c r="E102" s="22">
        <v>0</v>
      </c>
      <c r="F102" s="23" t="s">
        <v>174</v>
      </c>
      <c r="G102" s="5" t="s">
        <v>174</v>
      </c>
      <c r="H102" s="5" t="s">
        <v>174</v>
      </c>
      <c r="I102" s="5" t="s">
        <v>174</v>
      </c>
      <c r="J102" s="7">
        <v>0</v>
      </c>
      <c r="K102" s="5" t="s">
        <v>174</v>
      </c>
      <c r="L102" s="5">
        <v>0</v>
      </c>
      <c r="M102" s="5"/>
    </row>
    <row r="103" spans="1:13" x14ac:dyDescent="0.25">
      <c r="A103" s="21"/>
      <c r="B103" s="21">
        <v>21102017</v>
      </c>
      <c r="C103" s="21" t="s">
        <v>105</v>
      </c>
      <c r="D103" s="21"/>
      <c r="E103" s="22">
        <v>0</v>
      </c>
      <c r="F103" s="23" t="s">
        <v>175</v>
      </c>
      <c r="G103" s="5" t="s">
        <v>7</v>
      </c>
      <c r="H103" s="5" t="s">
        <v>20</v>
      </c>
      <c r="I103" s="5" t="s">
        <v>26</v>
      </c>
      <c r="J103" s="7">
        <v>0</v>
      </c>
      <c r="K103" s="5"/>
      <c r="L103" s="5">
        <v>12000</v>
      </c>
      <c r="M103" s="5"/>
    </row>
    <row r="104" spans="1:13" x14ac:dyDescent="0.25">
      <c r="A104" s="21"/>
      <c r="B104" s="21">
        <v>20402006</v>
      </c>
      <c r="C104" s="21" t="s">
        <v>106</v>
      </c>
      <c r="D104" s="21"/>
      <c r="E104" s="22">
        <v>0</v>
      </c>
      <c r="F104" s="23" t="s">
        <v>175</v>
      </c>
      <c r="G104" s="5" t="s">
        <v>7</v>
      </c>
      <c r="H104" s="5" t="s">
        <v>20</v>
      </c>
      <c r="I104" s="5" t="s">
        <v>27</v>
      </c>
      <c r="J104" s="7">
        <v>0</v>
      </c>
      <c r="K104" s="5"/>
      <c r="L104" s="5">
        <v>16000</v>
      </c>
      <c r="M104" s="5"/>
    </row>
    <row r="105" spans="1:13" x14ac:dyDescent="0.25">
      <c r="A105" s="21"/>
      <c r="B105" s="21">
        <v>21112017</v>
      </c>
      <c r="C105" s="21" t="s">
        <v>159</v>
      </c>
      <c r="D105" s="21"/>
      <c r="E105" s="22">
        <v>2000</v>
      </c>
      <c r="F105" s="23" t="s">
        <v>175</v>
      </c>
      <c r="G105" s="5" t="s">
        <v>7</v>
      </c>
      <c r="H105" s="5" t="s">
        <v>20</v>
      </c>
      <c r="I105" s="5" t="s">
        <v>27</v>
      </c>
      <c r="J105" s="7">
        <v>0</v>
      </c>
      <c r="K105" s="5"/>
      <c r="L105" s="5">
        <v>10000</v>
      </c>
      <c r="M105" s="5"/>
    </row>
    <row r="106" spans="1:13" x14ac:dyDescent="0.25">
      <c r="A106" s="21"/>
      <c r="B106" s="21">
        <v>10431999</v>
      </c>
      <c r="C106" s="21" t="s">
        <v>107</v>
      </c>
      <c r="D106" s="21"/>
      <c r="E106" s="22">
        <v>2000</v>
      </c>
      <c r="F106" s="23" t="s">
        <v>175</v>
      </c>
      <c r="G106" s="5" t="s">
        <v>7</v>
      </c>
      <c r="H106" s="5" t="s">
        <v>20</v>
      </c>
      <c r="I106" s="5" t="s">
        <v>28</v>
      </c>
      <c r="J106" s="7">
        <v>0</v>
      </c>
      <c r="K106" s="5"/>
      <c r="L106" s="5">
        <v>16000</v>
      </c>
      <c r="M106" s="5"/>
    </row>
    <row r="107" spans="1:13" x14ac:dyDescent="0.25">
      <c r="A107" s="21"/>
      <c r="B107" s="21">
        <v>10632016</v>
      </c>
      <c r="C107" s="21" t="s">
        <v>108</v>
      </c>
      <c r="D107" s="21"/>
      <c r="E107" s="22">
        <v>1000</v>
      </c>
      <c r="F107" s="23" t="s">
        <v>175</v>
      </c>
      <c r="G107" s="5" t="s">
        <v>7</v>
      </c>
      <c r="H107" s="5" t="s">
        <v>20</v>
      </c>
      <c r="I107" s="5" t="s">
        <v>29</v>
      </c>
      <c r="J107" s="7">
        <v>500</v>
      </c>
      <c r="K107" s="5"/>
      <c r="L107" s="5">
        <v>13500</v>
      </c>
      <c r="M107" s="5"/>
    </row>
    <row r="108" spans="1:13" x14ac:dyDescent="0.25">
      <c r="A108" s="21"/>
      <c r="B108" s="21">
        <v>20420000</v>
      </c>
      <c r="C108" s="21" t="s">
        <v>109</v>
      </c>
      <c r="D108" s="21"/>
      <c r="E108" s="22">
        <v>1000</v>
      </c>
      <c r="F108" s="23" t="s">
        <v>175</v>
      </c>
      <c r="G108" s="5" t="s">
        <v>7</v>
      </c>
      <c r="H108" s="5" t="s">
        <v>20</v>
      </c>
      <c r="I108" s="5" t="s">
        <v>28</v>
      </c>
      <c r="J108" s="7">
        <v>0</v>
      </c>
      <c r="K108" s="5"/>
      <c r="L108" s="5">
        <v>14000</v>
      </c>
      <c r="M108" s="5"/>
    </row>
    <row r="109" spans="1:13" x14ac:dyDescent="0.25">
      <c r="A109" s="21"/>
      <c r="B109" s="21">
        <v>10582015</v>
      </c>
      <c r="C109" s="21" t="s">
        <v>110</v>
      </c>
      <c r="D109" s="21"/>
      <c r="E109" s="22">
        <v>1000</v>
      </c>
      <c r="F109" s="23" t="s">
        <v>175</v>
      </c>
      <c r="G109" s="5" t="s">
        <v>7</v>
      </c>
      <c r="H109" s="5" t="s">
        <v>20</v>
      </c>
      <c r="I109" s="5" t="s">
        <v>27</v>
      </c>
      <c r="J109" s="7">
        <v>1000</v>
      </c>
      <c r="K109" s="5"/>
      <c r="L109" s="5">
        <v>11000</v>
      </c>
      <c r="M109" s="5" t="s">
        <v>241</v>
      </c>
    </row>
    <row r="110" spans="1:13" x14ac:dyDescent="0.25">
      <c r="A110" s="21"/>
      <c r="B110" s="21">
        <v>20792016</v>
      </c>
      <c r="C110" s="21" t="s">
        <v>111</v>
      </c>
      <c r="D110" s="21"/>
      <c r="E110" s="22">
        <v>0</v>
      </c>
      <c r="F110" s="23" t="s">
        <v>175</v>
      </c>
      <c r="G110" s="5" t="s">
        <v>7</v>
      </c>
      <c r="H110" s="5" t="s">
        <v>20</v>
      </c>
      <c r="I110" s="5" t="s">
        <v>27</v>
      </c>
      <c r="J110" s="7">
        <v>3000</v>
      </c>
      <c r="K110" s="5"/>
      <c r="L110" s="5">
        <v>11000</v>
      </c>
      <c r="M110" s="5" t="s">
        <v>241</v>
      </c>
    </row>
    <row r="111" spans="1:13" x14ac:dyDescent="0.25">
      <c r="A111" s="21"/>
      <c r="B111" s="21">
        <v>20972016</v>
      </c>
      <c r="C111" s="21" t="s">
        <v>112</v>
      </c>
      <c r="D111" s="21"/>
      <c r="E111" s="22">
        <v>0</v>
      </c>
      <c r="F111" s="23" t="s">
        <v>175</v>
      </c>
      <c r="G111" s="5" t="s">
        <v>7</v>
      </c>
      <c r="H111" s="5" t="s">
        <v>20</v>
      </c>
      <c r="I111" s="5" t="s">
        <v>28</v>
      </c>
      <c r="J111" s="7">
        <v>0</v>
      </c>
      <c r="K111" s="5"/>
      <c r="L111" s="5">
        <v>8000</v>
      </c>
      <c r="M111" s="5"/>
    </row>
    <row r="112" spans="1:13" x14ac:dyDescent="0.25">
      <c r="A112" s="21"/>
      <c r="B112" s="21">
        <v>21082017</v>
      </c>
      <c r="C112" s="21" t="s">
        <v>113</v>
      </c>
      <c r="D112" s="21"/>
      <c r="E112" s="22">
        <v>1000</v>
      </c>
      <c r="F112" s="23" t="s">
        <v>175</v>
      </c>
      <c r="G112" s="5" t="s">
        <v>7</v>
      </c>
      <c r="H112" s="5" t="s">
        <v>20</v>
      </c>
      <c r="I112" s="5" t="s">
        <v>28</v>
      </c>
      <c r="J112" s="7">
        <v>0</v>
      </c>
      <c r="K112" s="5"/>
      <c r="L112" s="5">
        <v>11000</v>
      </c>
      <c r="M112" s="5"/>
    </row>
    <row r="113" spans="1:13" x14ac:dyDescent="0.25">
      <c r="A113" s="21"/>
      <c r="B113" s="21">
        <v>21122017</v>
      </c>
      <c r="C113" s="21" t="s">
        <v>114</v>
      </c>
      <c r="D113" s="21"/>
      <c r="E113" s="22">
        <v>0</v>
      </c>
      <c r="F113" s="23" t="s">
        <v>175</v>
      </c>
      <c r="G113" s="5" t="s">
        <v>7</v>
      </c>
      <c r="H113" s="5" t="s">
        <v>20</v>
      </c>
      <c r="I113" s="5" t="s">
        <v>28</v>
      </c>
      <c r="J113" s="7">
        <v>3000</v>
      </c>
      <c r="K113" s="5"/>
      <c r="L113" s="5">
        <v>11000</v>
      </c>
      <c r="M113" s="5"/>
    </row>
    <row r="114" spans="1:13" x14ac:dyDescent="0.25">
      <c r="A114" s="21"/>
      <c r="B114" s="21">
        <v>20872017</v>
      </c>
      <c r="C114" s="21" t="s">
        <v>115</v>
      </c>
      <c r="D114" s="21"/>
      <c r="E114" s="22">
        <v>0</v>
      </c>
      <c r="F114" s="23" t="s">
        <v>175</v>
      </c>
      <c r="G114" s="5" t="s">
        <v>7</v>
      </c>
      <c r="H114" s="5" t="s">
        <v>20</v>
      </c>
      <c r="I114" s="5" t="s">
        <v>28</v>
      </c>
      <c r="J114" s="7">
        <v>1000</v>
      </c>
      <c r="K114" s="5"/>
      <c r="L114" s="5">
        <v>11000</v>
      </c>
      <c r="M114" s="5"/>
    </row>
    <row r="115" spans="1:13" x14ac:dyDescent="0.25">
      <c r="A115" s="21"/>
      <c r="B115" s="21">
        <v>21292018</v>
      </c>
      <c r="C115" s="21" t="s">
        <v>116</v>
      </c>
      <c r="D115" s="21"/>
      <c r="E115" s="22">
        <v>0</v>
      </c>
      <c r="F115" s="23" t="s">
        <v>175</v>
      </c>
      <c r="G115" s="5" t="s">
        <v>7</v>
      </c>
      <c r="H115" s="5" t="s">
        <v>20</v>
      </c>
      <c r="I115" s="5" t="s">
        <v>28</v>
      </c>
      <c r="J115" s="7">
        <v>2000</v>
      </c>
      <c r="K115" s="5"/>
      <c r="L115" s="5">
        <v>10000</v>
      </c>
      <c r="M115" s="5"/>
    </row>
    <row r="116" spans="1:13" x14ac:dyDescent="0.25">
      <c r="A116" s="21"/>
      <c r="B116" s="21">
        <v>20412000</v>
      </c>
      <c r="C116" s="21" t="s">
        <v>117</v>
      </c>
      <c r="D116" s="21"/>
      <c r="E116" s="22">
        <v>500</v>
      </c>
      <c r="F116" s="23" t="s">
        <v>175</v>
      </c>
      <c r="G116" s="5" t="s">
        <v>7</v>
      </c>
      <c r="H116" s="5" t="s">
        <v>20</v>
      </c>
      <c r="I116" s="5" t="s">
        <v>30</v>
      </c>
      <c r="J116" s="7">
        <v>0</v>
      </c>
      <c r="K116" s="5"/>
      <c r="L116" s="5">
        <v>14000</v>
      </c>
      <c r="M116" s="5"/>
    </row>
    <row r="117" spans="1:13" x14ac:dyDescent="0.25">
      <c r="A117" s="21"/>
      <c r="B117" s="21">
        <v>20442006</v>
      </c>
      <c r="C117" s="21" t="s">
        <v>160</v>
      </c>
      <c r="D117" s="21"/>
      <c r="E117" s="22">
        <v>500</v>
      </c>
      <c r="F117" s="23" t="s">
        <v>175</v>
      </c>
      <c r="G117" s="5" t="s">
        <v>7</v>
      </c>
      <c r="H117" s="5" t="s">
        <v>20</v>
      </c>
      <c r="I117" s="5" t="s">
        <v>30</v>
      </c>
      <c r="J117" s="7">
        <v>1000</v>
      </c>
      <c r="K117" s="5"/>
      <c r="L117" s="5">
        <v>14000</v>
      </c>
      <c r="M117" s="5"/>
    </row>
    <row r="118" spans="1:13" x14ac:dyDescent="0.25">
      <c r="A118" s="21"/>
      <c r="B118" s="21">
        <v>20832016</v>
      </c>
      <c r="C118" s="21" t="s">
        <v>161</v>
      </c>
      <c r="D118" s="21"/>
      <c r="E118" s="22">
        <v>0</v>
      </c>
      <c r="F118" s="23" t="s">
        <v>175</v>
      </c>
      <c r="G118" s="5" t="s">
        <v>7</v>
      </c>
      <c r="H118" s="5" t="s">
        <v>20</v>
      </c>
      <c r="I118" s="5" t="s">
        <v>31</v>
      </c>
      <c r="J118" s="7">
        <v>0</v>
      </c>
      <c r="K118" s="5"/>
      <c r="L118" s="5">
        <v>8000</v>
      </c>
      <c r="M118" s="5"/>
    </row>
    <row r="119" spans="1:13" x14ac:dyDescent="0.25">
      <c r="A119" s="21"/>
      <c r="B119" s="21">
        <v>21012017</v>
      </c>
      <c r="C119" s="21" t="s">
        <v>118</v>
      </c>
      <c r="D119" s="21"/>
      <c r="E119" s="22">
        <v>2000</v>
      </c>
      <c r="F119" s="23" t="s">
        <v>175</v>
      </c>
      <c r="G119" s="5" t="s">
        <v>7</v>
      </c>
      <c r="H119" s="5" t="s">
        <v>20</v>
      </c>
      <c r="I119" s="5" t="s">
        <v>31</v>
      </c>
      <c r="J119" s="7">
        <v>2000</v>
      </c>
      <c r="K119" s="5"/>
      <c r="L119" s="5">
        <v>12000</v>
      </c>
      <c r="M119" s="5"/>
    </row>
    <row r="120" spans="1:13" x14ac:dyDescent="0.25">
      <c r="A120" s="21"/>
      <c r="B120" s="21">
        <v>21022017</v>
      </c>
      <c r="C120" s="21" t="s">
        <v>119</v>
      </c>
      <c r="D120" s="21"/>
      <c r="E120" s="22">
        <v>0</v>
      </c>
      <c r="F120" s="23" t="s">
        <v>175</v>
      </c>
      <c r="G120" s="5" t="s">
        <v>7</v>
      </c>
      <c r="H120" s="5" t="s">
        <v>20</v>
      </c>
      <c r="I120" s="5" t="s">
        <v>31</v>
      </c>
      <c r="J120" s="7">
        <v>2000</v>
      </c>
      <c r="K120" s="5"/>
      <c r="L120" s="5">
        <v>10000</v>
      </c>
      <c r="M120" s="5"/>
    </row>
    <row r="121" spans="1:13" x14ac:dyDescent="0.25">
      <c r="A121" s="21"/>
      <c r="B121" s="21">
        <v>10352009</v>
      </c>
      <c r="C121" s="21" t="s">
        <v>120</v>
      </c>
      <c r="D121" s="21"/>
      <c r="E121" s="22">
        <v>2000</v>
      </c>
      <c r="F121" s="23" t="s">
        <v>175</v>
      </c>
      <c r="G121" s="5" t="s">
        <v>34</v>
      </c>
      <c r="H121" s="5" t="s">
        <v>32</v>
      </c>
      <c r="I121" s="5" t="s">
        <v>33</v>
      </c>
      <c r="J121" s="7">
        <v>4000</v>
      </c>
      <c r="K121" s="5"/>
      <c r="L121" s="5">
        <v>45000</v>
      </c>
      <c r="M121" s="5"/>
    </row>
    <row r="122" spans="1:13" x14ac:dyDescent="0.25">
      <c r="A122" s="21"/>
      <c r="B122" s="21">
        <v>10952017</v>
      </c>
      <c r="C122" s="21" t="s">
        <v>121</v>
      </c>
      <c r="D122" s="21"/>
      <c r="E122" s="22">
        <v>0</v>
      </c>
      <c r="F122" s="23" t="s">
        <v>175</v>
      </c>
      <c r="G122" s="5" t="s">
        <v>34</v>
      </c>
      <c r="H122" s="5" t="s">
        <v>32</v>
      </c>
      <c r="I122" s="5" t="s">
        <v>35</v>
      </c>
      <c r="J122" s="7">
        <v>0</v>
      </c>
      <c r="K122" s="5"/>
      <c r="L122" s="5">
        <v>18000</v>
      </c>
      <c r="M122" s="5"/>
    </row>
    <row r="123" spans="1:13" x14ac:dyDescent="0.25">
      <c r="A123" s="21"/>
      <c r="B123" s="21">
        <v>20692016</v>
      </c>
      <c r="C123" s="21" t="s">
        <v>122</v>
      </c>
      <c r="D123" s="21"/>
      <c r="E123" s="22">
        <v>2000</v>
      </c>
      <c r="F123" s="23" t="s">
        <v>175</v>
      </c>
      <c r="G123" s="5" t="s">
        <v>34</v>
      </c>
      <c r="H123" s="5" t="s">
        <v>32</v>
      </c>
      <c r="I123" s="5" t="s">
        <v>3</v>
      </c>
      <c r="J123" s="7">
        <v>4000</v>
      </c>
      <c r="K123" s="5"/>
      <c r="L123" s="5">
        <v>28000</v>
      </c>
      <c r="M123" s="5"/>
    </row>
    <row r="124" spans="1:13" x14ac:dyDescent="0.25">
      <c r="A124" s="21"/>
      <c r="B124" s="21">
        <v>21172018</v>
      </c>
      <c r="C124" s="21" t="s">
        <v>162</v>
      </c>
      <c r="D124" s="21"/>
      <c r="E124" s="22">
        <v>0</v>
      </c>
      <c r="F124" s="23" t="s">
        <v>175</v>
      </c>
      <c r="G124" s="5" t="s">
        <v>34</v>
      </c>
      <c r="H124" s="5" t="s">
        <v>36</v>
      </c>
      <c r="I124" s="5" t="s">
        <v>5</v>
      </c>
      <c r="J124" s="7">
        <v>0</v>
      </c>
      <c r="K124" s="5"/>
      <c r="L124" s="5">
        <v>45000</v>
      </c>
      <c r="M124" s="5"/>
    </row>
    <row r="125" spans="1:13" x14ac:dyDescent="0.25">
      <c r="A125" s="21"/>
      <c r="B125" s="21">
        <v>21042017</v>
      </c>
      <c r="C125" s="21" t="s">
        <v>123</v>
      </c>
      <c r="D125" s="21"/>
      <c r="E125" s="22">
        <v>0</v>
      </c>
      <c r="F125" s="23" t="s">
        <v>175</v>
      </c>
      <c r="G125" s="5" t="s">
        <v>34</v>
      </c>
      <c r="H125" s="5" t="s">
        <v>36</v>
      </c>
      <c r="I125" s="5" t="s">
        <v>3</v>
      </c>
      <c r="J125" s="7">
        <v>0</v>
      </c>
      <c r="K125" s="5"/>
      <c r="L125" s="5">
        <v>35000</v>
      </c>
      <c r="M125" s="5"/>
    </row>
    <row r="126" spans="1:13" x14ac:dyDescent="0.25">
      <c r="A126" s="21" t="s">
        <v>260</v>
      </c>
      <c r="B126" s="21">
        <v>40312017</v>
      </c>
      <c r="C126" s="21" t="s">
        <v>124</v>
      </c>
      <c r="D126" s="21"/>
      <c r="E126" s="22">
        <v>0</v>
      </c>
      <c r="F126" s="23" t="s">
        <v>175</v>
      </c>
      <c r="G126" s="5" t="s">
        <v>34</v>
      </c>
      <c r="H126" s="5" t="s">
        <v>36</v>
      </c>
      <c r="I126" s="5" t="s">
        <v>21</v>
      </c>
      <c r="J126" s="7">
        <v>0</v>
      </c>
      <c r="K126" s="5"/>
      <c r="L126" s="5">
        <v>40000</v>
      </c>
      <c r="M126" s="5"/>
    </row>
    <row r="127" spans="1:13" x14ac:dyDescent="0.25">
      <c r="A127" s="21"/>
      <c r="B127" s="21">
        <v>21092017</v>
      </c>
      <c r="C127" s="21" t="s">
        <v>163</v>
      </c>
      <c r="D127" s="21"/>
      <c r="E127" s="22">
        <v>0</v>
      </c>
      <c r="F127" s="23" t="s">
        <v>175</v>
      </c>
      <c r="G127" s="5" t="s">
        <v>34</v>
      </c>
      <c r="H127" s="5" t="s">
        <v>37</v>
      </c>
      <c r="I127" s="5" t="s">
        <v>5</v>
      </c>
      <c r="J127" s="7">
        <v>0</v>
      </c>
      <c r="K127" s="5"/>
      <c r="L127" s="5">
        <v>25000</v>
      </c>
      <c r="M127" s="5"/>
    </row>
    <row r="128" spans="1:13" x14ac:dyDescent="0.25">
      <c r="A128" s="21"/>
      <c r="B128" s="21">
        <v>20812016</v>
      </c>
      <c r="C128" s="21" t="s">
        <v>125</v>
      </c>
      <c r="D128" s="21"/>
      <c r="E128" s="22">
        <v>0</v>
      </c>
      <c r="F128" s="23" t="s">
        <v>175</v>
      </c>
      <c r="G128" s="5" t="s">
        <v>34</v>
      </c>
      <c r="H128" s="5" t="s">
        <v>37</v>
      </c>
      <c r="I128" s="5" t="s">
        <v>5</v>
      </c>
      <c r="J128" s="7">
        <v>14000</v>
      </c>
      <c r="K128" s="5"/>
      <c r="L128" s="5">
        <v>40000</v>
      </c>
      <c r="M128" s="5"/>
    </row>
  </sheetData>
  <conditionalFormatting sqref="B1:B1048576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C098-8C21-4D3A-8E75-58E97026AC51}">
  <dimension ref="A1:AW149"/>
  <sheetViews>
    <sheetView zoomScale="90" zoomScaleNormal="90" workbookViewId="0">
      <pane xSplit="3" topLeftCell="D1" activePane="topRight" state="frozen"/>
      <selection pane="topRight" activeCell="H137" sqref="H137"/>
    </sheetView>
  </sheetViews>
  <sheetFormatPr defaultRowHeight="11.5" x14ac:dyDescent="0.25"/>
  <cols>
    <col min="1" max="1" width="3.54296875" style="1" customWidth="1"/>
    <col min="2" max="2" width="9.54296875" style="1" bestFit="1" customWidth="1"/>
    <col min="3" max="3" width="28.90625" style="1" customWidth="1"/>
    <col min="4" max="4" width="7.7265625" style="1" customWidth="1"/>
    <col min="5" max="5" width="8.7265625" style="43"/>
    <col min="6" max="6" width="20.08984375" style="43" bestFit="1" customWidth="1"/>
    <col min="7" max="7" width="21.6328125" style="43" bestFit="1" customWidth="1"/>
    <col min="8" max="8" width="23.81640625" style="44" bestFit="1" customWidth="1"/>
    <col min="9" max="9" width="12.54296875" style="44" bestFit="1" customWidth="1"/>
    <col min="10" max="10" width="9.453125" style="45" bestFit="1" customWidth="1"/>
    <col min="11" max="11" width="8.7265625" style="44"/>
    <col min="12" max="12" width="9.08984375" style="46" bestFit="1" customWidth="1"/>
    <col min="13" max="13" width="10.7265625" style="43" bestFit="1" customWidth="1"/>
    <col min="14" max="14" width="10.81640625" style="44" customWidth="1"/>
    <col min="15" max="15" width="8.7265625" style="1"/>
    <col min="16" max="16" width="21" style="1" bestFit="1" customWidth="1"/>
    <col min="17" max="17" width="9.7265625" style="1" customWidth="1"/>
    <col min="18" max="18" width="4.26953125" style="1" bestFit="1" customWidth="1"/>
    <col min="19" max="19" width="11.1796875" style="1" bestFit="1" customWidth="1"/>
    <col min="20" max="20" width="12.54296875" style="1" bestFit="1" customWidth="1"/>
    <col min="21" max="33" width="8.7265625" style="1"/>
    <col min="34" max="48" width="8.7265625" style="44"/>
    <col min="49" max="16384" width="8.7265625" style="1"/>
  </cols>
  <sheetData>
    <row r="1" spans="1:49" s="4" customFormat="1" ht="35.5" customHeight="1" x14ac:dyDescent="0.35">
      <c r="A1" s="47" t="s">
        <v>0</v>
      </c>
      <c r="B1" s="47" t="s">
        <v>1</v>
      </c>
      <c r="C1" s="47" t="s">
        <v>2</v>
      </c>
      <c r="D1" s="47" t="s">
        <v>183</v>
      </c>
      <c r="E1" s="49" t="s">
        <v>173</v>
      </c>
      <c r="F1" s="49" t="s">
        <v>250</v>
      </c>
      <c r="G1" s="49" t="s">
        <v>251</v>
      </c>
      <c r="H1" s="49" t="s">
        <v>252</v>
      </c>
      <c r="I1" s="50" t="s">
        <v>289</v>
      </c>
      <c r="J1" s="49" t="s">
        <v>253</v>
      </c>
      <c r="K1" s="49" t="s">
        <v>254</v>
      </c>
      <c r="L1" s="51" t="s">
        <v>296</v>
      </c>
      <c r="M1" s="49" t="s">
        <v>255</v>
      </c>
      <c r="N1" s="49" t="s">
        <v>256</v>
      </c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</row>
    <row r="2" spans="1:49" s="4" customFormat="1" ht="16.5" customHeight="1" x14ac:dyDescent="0.25">
      <c r="A2" s="48"/>
      <c r="B2" s="48">
        <v>20862017</v>
      </c>
      <c r="C2" s="48" t="s">
        <v>103</v>
      </c>
      <c r="D2" s="48"/>
      <c r="E2" s="52" t="s">
        <v>175</v>
      </c>
      <c r="F2" s="52" t="s">
        <v>7</v>
      </c>
      <c r="G2" s="52" t="s">
        <v>20</v>
      </c>
      <c r="H2" s="48" t="s">
        <v>9</v>
      </c>
      <c r="I2" s="53">
        <v>24000</v>
      </c>
      <c r="J2" s="54">
        <v>6000</v>
      </c>
      <c r="K2" s="48"/>
      <c r="L2" s="55">
        <v>0.25</v>
      </c>
      <c r="M2" s="52">
        <v>30000</v>
      </c>
      <c r="N2" s="48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49" x14ac:dyDescent="0.25">
      <c r="A3" s="48"/>
      <c r="B3" s="48">
        <v>21062016</v>
      </c>
      <c r="C3" s="48" t="s">
        <v>104</v>
      </c>
      <c r="D3" s="48"/>
      <c r="E3" s="52" t="s">
        <v>175</v>
      </c>
      <c r="F3" s="52" t="s">
        <v>7</v>
      </c>
      <c r="G3" s="52" t="s">
        <v>20</v>
      </c>
      <c r="H3" s="48" t="s">
        <v>26</v>
      </c>
      <c r="I3" s="53">
        <v>22000</v>
      </c>
      <c r="J3" s="54">
        <v>7000</v>
      </c>
      <c r="K3" s="48"/>
      <c r="L3" s="55">
        <v>0.31818181818181818</v>
      </c>
      <c r="M3" s="52">
        <v>29000</v>
      </c>
      <c r="N3" s="48"/>
    </row>
    <row r="4" spans="1:49" x14ac:dyDescent="0.25">
      <c r="A4" s="48"/>
      <c r="B4" s="48">
        <v>10431999</v>
      </c>
      <c r="C4" s="48" t="s">
        <v>107</v>
      </c>
      <c r="D4" s="48"/>
      <c r="E4" s="52" t="s">
        <v>175</v>
      </c>
      <c r="F4" s="52" t="s">
        <v>7</v>
      </c>
      <c r="G4" s="52" t="s">
        <v>20</v>
      </c>
      <c r="H4" s="48" t="s">
        <v>28</v>
      </c>
      <c r="I4" s="53">
        <v>18000</v>
      </c>
      <c r="J4" s="54">
        <v>2000</v>
      </c>
      <c r="K4" s="48"/>
      <c r="L4" s="55">
        <v>0.1111111111111111</v>
      </c>
      <c r="M4" s="52">
        <v>20000</v>
      </c>
      <c r="N4" s="48"/>
    </row>
    <row r="5" spans="1:49" x14ac:dyDescent="0.25">
      <c r="A5" s="48"/>
      <c r="B5" s="48">
        <v>10632016</v>
      </c>
      <c r="C5" s="48" t="s">
        <v>108</v>
      </c>
      <c r="D5" s="48"/>
      <c r="E5" s="52" t="s">
        <v>175</v>
      </c>
      <c r="F5" s="52" t="s">
        <v>7</v>
      </c>
      <c r="G5" s="52" t="s">
        <v>20</v>
      </c>
      <c r="H5" s="48" t="s">
        <v>29</v>
      </c>
      <c r="I5" s="53">
        <v>15000</v>
      </c>
      <c r="J5" s="54">
        <v>2000</v>
      </c>
      <c r="K5" s="48"/>
      <c r="L5" s="55">
        <v>0.13333333333333333</v>
      </c>
      <c r="M5" s="52">
        <v>17000</v>
      </c>
      <c r="N5" s="48"/>
    </row>
    <row r="6" spans="1:49" x14ac:dyDescent="0.25">
      <c r="A6" s="48"/>
      <c r="B6" s="48">
        <v>20420000</v>
      </c>
      <c r="C6" s="48" t="s">
        <v>109</v>
      </c>
      <c r="D6" s="48"/>
      <c r="E6" s="52" t="s">
        <v>175</v>
      </c>
      <c r="F6" s="52" t="s">
        <v>7</v>
      </c>
      <c r="G6" s="52" t="s">
        <v>20</v>
      </c>
      <c r="H6" s="48" t="s">
        <v>28</v>
      </c>
      <c r="I6" s="53">
        <v>16000</v>
      </c>
      <c r="J6" s="54">
        <v>2000</v>
      </c>
      <c r="K6" s="48"/>
      <c r="L6" s="55">
        <v>0.125</v>
      </c>
      <c r="M6" s="52">
        <v>18000</v>
      </c>
      <c r="N6" s="48"/>
    </row>
    <row r="7" spans="1:49" x14ac:dyDescent="0.25">
      <c r="A7" s="48"/>
      <c r="B7" s="48">
        <v>21082017</v>
      </c>
      <c r="C7" s="48" t="s">
        <v>113</v>
      </c>
      <c r="D7" s="48"/>
      <c r="E7" s="52" t="s">
        <v>175</v>
      </c>
      <c r="F7" s="52" t="s">
        <v>7</v>
      </c>
      <c r="G7" s="52" t="s">
        <v>20</v>
      </c>
      <c r="H7" s="48" t="s">
        <v>28</v>
      </c>
      <c r="I7" s="53">
        <v>13000</v>
      </c>
      <c r="J7" s="54">
        <v>3000</v>
      </c>
      <c r="K7" s="48"/>
      <c r="L7" s="55">
        <v>0.23076923076923078</v>
      </c>
      <c r="M7" s="52">
        <v>16000</v>
      </c>
      <c r="N7" s="48"/>
    </row>
    <row r="8" spans="1:49" x14ac:dyDescent="0.25">
      <c r="A8" s="48"/>
      <c r="B8" s="48">
        <v>20872017</v>
      </c>
      <c r="C8" s="48" t="s">
        <v>115</v>
      </c>
      <c r="D8" s="48"/>
      <c r="E8" s="52" t="s">
        <v>175</v>
      </c>
      <c r="F8" s="52" t="s">
        <v>7</v>
      </c>
      <c r="G8" s="52" t="s">
        <v>20</v>
      </c>
      <c r="H8" s="48" t="s">
        <v>28</v>
      </c>
      <c r="I8" s="53">
        <v>13000</v>
      </c>
      <c r="J8" s="54">
        <v>3000</v>
      </c>
      <c r="K8" s="48"/>
      <c r="L8" s="55">
        <v>0.23076923076923078</v>
      </c>
      <c r="M8" s="52">
        <v>16000</v>
      </c>
      <c r="N8" s="48"/>
    </row>
    <row r="9" spans="1:49" x14ac:dyDescent="0.25">
      <c r="A9" s="48"/>
      <c r="B9" s="48">
        <v>20412000</v>
      </c>
      <c r="C9" s="48" t="s">
        <v>117</v>
      </c>
      <c r="D9" s="48"/>
      <c r="E9" s="52" t="s">
        <v>175</v>
      </c>
      <c r="F9" s="52" t="s">
        <v>7</v>
      </c>
      <c r="G9" s="52" t="s">
        <v>20</v>
      </c>
      <c r="H9" s="48" t="s">
        <v>30</v>
      </c>
      <c r="I9" s="53">
        <v>16000</v>
      </c>
      <c r="J9" s="54">
        <v>2000</v>
      </c>
      <c r="K9" s="48"/>
      <c r="L9" s="55">
        <v>0.125</v>
      </c>
      <c r="M9" s="52">
        <v>18000</v>
      </c>
      <c r="N9" s="48"/>
    </row>
    <row r="10" spans="1:49" x14ac:dyDescent="0.25">
      <c r="A10" s="48"/>
      <c r="B10" s="48">
        <v>20442006</v>
      </c>
      <c r="C10" s="48" t="s">
        <v>160</v>
      </c>
      <c r="D10" s="48"/>
      <c r="E10" s="52" t="s">
        <v>175</v>
      </c>
      <c r="F10" s="52" t="s">
        <v>7</v>
      </c>
      <c r="G10" s="52" t="s">
        <v>20</v>
      </c>
      <c r="H10" s="48" t="s">
        <v>30</v>
      </c>
      <c r="I10" s="53">
        <v>16000</v>
      </c>
      <c r="J10" s="54">
        <v>2000</v>
      </c>
      <c r="K10" s="48"/>
      <c r="L10" s="55">
        <v>0.125</v>
      </c>
      <c r="M10" s="52">
        <v>18000</v>
      </c>
      <c r="N10" s="48"/>
    </row>
    <row r="11" spans="1:49" x14ac:dyDescent="0.25">
      <c r="A11" s="48"/>
      <c r="B11" s="48">
        <v>21012017</v>
      </c>
      <c r="C11" s="48" t="s">
        <v>118</v>
      </c>
      <c r="D11" s="48"/>
      <c r="E11" s="52" t="s">
        <v>175</v>
      </c>
      <c r="F11" s="52" t="s">
        <v>7</v>
      </c>
      <c r="G11" s="52" t="s">
        <v>20</v>
      </c>
      <c r="H11" s="48" t="s">
        <v>207</v>
      </c>
      <c r="I11" s="53">
        <v>12000</v>
      </c>
      <c r="J11" s="54">
        <v>2000</v>
      </c>
      <c r="K11" s="48"/>
      <c r="L11" s="55">
        <v>0.16666666666666666</v>
      </c>
      <c r="M11" s="52">
        <v>14000</v>
      </c>
      <c r="N11" s="48"/>
    </row>
    <row r="12" spans="1:49" x14ac:dyDescent="0.25">
      <c r="A12" s="48"/>
      <c r="B12" s="48">
        <v>21022017</v>
      </c>
      <c r="C12" s="48" t="s">
        <v>119</v>
      </c>
      <c r="D12" s="48"/>
      <c r="E12" s="52" t="s">
        <v>175</v>
      </c>
      <c r="F12" s="52" t="s">
        <v>7</v>
      </c>
      <c r="G12" s="52" t="s">
        <v>20</v>
      </c>
      <c r="H12" s="48" t="s">
        <v>28</v>
      </c>
      <c r="I12" s="53">
        <v>12000</v>
      </c>
      <c r="J12" s="54">
        <v>2000</v>
      </c>
      <c r="K12" s="48"/>
      <c r="L12" s="55">
        <v>0.16666666666666666</v>
      </c>
      <c r="M12" s="52">
        <v>14000</v>
      </c>
      <c r="N12" s="48"/>
    </row>
    <row r="13" spans="1:49" x14ac:dyDescent="0.25">
      <c r="A13" s="48"/>
      <c r="B13" s="48">
        <v>11082018</v>
      </c>
      <c r="C13" s="48" t="s">
        <v>202</v>
      </c>
      <c r="D13" s="48"/>
      <c r="E13" s="52" t="s">
        <v>175</v>
      </c>
      <c r="F13" s="52" t="s">
        <v>7</v>
      </c>
      <c r="G13" s="52" t="s">
        <v>20</v>
      </c>
      <c r="H13" s="52" t="s">
        <v>203</v>
      </c>
      <c r="I13" s="53">
        <v>15000</v>
      </c>
      <c r="J13" s="54">
        <v>5000</v>
      </c>
      <c r="K13" s="48"/>
      <c r="L13" s="55">
        <v>0.33333333333333331</v>
      </c>
      <c r="M13" s="52">
        <v>20000</v>
      </c>
      <c r="N13" s="48"/>
    </row>
    <row r="14" spans="1:49" x14ac:dyDescent="0.25">
      <c r="A14" s="48"/>
      <c r="B14" s="48">
        <v>21382018</v>
      </c>
      <c r="C14" s="48" t="s">
        <v>206</v>
      </c>
      <c r="D14" s="48"/>
      <c r="E14" s="52" t="s">
        <v>175</v>
      </c>
      <c r="F14" s="52" t="s">
        <v>7</v>
      </c>
      <c r="G14" s="52" t="s">
        <v>20</v>
      </c>
      <c r="H14" s="48" t="s">
        <v>28</v>
      </c>
      <c r="I14" s="53">
        <v>12000</v>
      </c>
      <c r="J14" s="54">
        <v>2000</v>
      </c>
      <c r="K14" s="48"/>
      <c r="L14" s="55">
        <v>0.16666666666666666</v>
      </c>
      <c r="M14" s="52">
        <v>14000</v>
      </c>
      <c r="N14" s="48"/>
    </row>
    <row r="15" spans="1:49" s="32" customFormat="1" x14ac:dyDescent="0.25">
      <c r="A15" s="48"/>
      <c r="B15" s="48">
        <v>21512019</v>
      </c>
      <c r="C15" s="48" t="s">
        <v>208</v>
      </c>
      <c r="D15" s="48"/>
      <c r="E15" s="52" t="s">
        <v>175</v>
      </c>
      <c r="F15" s="52" t="s">
        <v>7</v>
      </c>
      <c r="G15" s="52" t="s">
        <v>20</v>
      </c>
      <c r="H15" s="48" t="s">
        <v>207</v>
      </c>
      <c r="I15" s="53">
        <v>10000</v>
      </c>
      <c r="J15" s="54">
        <v>2000</v>
      </c>
      <c r="K15" s="48"/>
      <c r="L15" s="55">
        <v>0.2</v>
      </c>
      <c r="M15" s="52">
        <v>12000</v>
      </c>
      <c r="N15" s="4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72"/>
    </row>
    <row r="16" spans="1:49" s="32" customFormat="1" x14ac:dyDescent="0.25">
      <c r="A16" s="48"/>
      <c r="B16" s="48">
        <v>21442018</v>
      </c>
      <c r="C16" s="48" t="s">
        <v>225</v>
      </c>
      <c r="D16" s="48"/>
      <c r="E16" s="52" t="s">
        <v>175</v>
      </c>
      <c r="F16" s="52" t="s">
        <v>7</v>
      </c>
      <c r="G16" s="52" t="s">
        <v>20</v>
      </c>
      <c r="H16" s="48" t="s">
        <v>28</v>
      </c>
      <c r="I16" s="53">
        <v>10000</v>
      </c>
      <c r="J16" s="54">
        <v>2000</v>
      </c>
      <c r="K16" s="48"/>
      <c r="L16" s="55">
        <v>0.2</v>
      </c>
      <c r="M16" s="52">
        <v>12000</v>
      </c>
      <c r="N16" s="4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72"/>
    </row>
    <row r="17" spans="1:49" s="32" customFormat="1" x14ac:dyDescent="0.25">
      <c r="A17" s="48"/>
      <c r="B17" s="48">
        <v>11352020</v>
      </c>
      <c r="C17" s="48" t="s">
        <v>158</v>
      </c>
      <c r="D17" s="48"/>
      <c r="E17" s="52" t="s">
        <v>175</v>
      </c>
      <c r="F17" s="52" t="s">
        <v>7</v>
      </c>
      <c r="G17" s="52" t="s">
        <v>20</v>
      </c>
      <c r="H17" s="48" t="s">
        <v>130</v>
      </c>
      <c r="I17" s="53">
        <v>50000</v>
      </c>
      <c r="J17" s="54">
        <v>8000</v>
      </c>
      <c r="K17" s="48"/>
      <c r="L17" s="55">
        <v>0.16</v>
      </c>
      <c r="M17" s="52">
        <v>50000</v>
      </c>
      <c r="N17" s="48" t="s">
        <v>278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72"/>
    </row>
    <row r="18" spans="1:49" s="32" customFormat="1" x14ac:dyDescent="0.25">
      <c r="A18" s="48"/>
      <c r="B18" s="48">
        <v>21712019</v>
      </c>
      <c r="C18" s="48" t="s">
        <v>354</v>
      </c>
      <c r="D18" s="48"/>
      <c r="E18" s="52" t="s">
        <v>175</v>
      </c>
      <c r="F18" s="52" t="s">
        <v>7</v>
      </c>
      <c r="G18" s="52" t="s">
        <v>20</v>
      </c>
      <c r="H18" s="48" t="s">
        <v>279</v>
      </c>
      <c r="I18" s="53">
        <v>30000</v>
      </c>
      <c r="J18" s="54">
        <v>2000</v>
      </c>
      <c r="K18" s="48"/>
      <c r="L18" s="55">
        <v>6.6666666666666666E-2</v>
      </c>
      <c r="M18" s="52">
        <v>32000</v>
      </c>
      <c r="N18" s="4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72"/>
    </row>
    <row r="19" spans="1:49" s="32" customFormat="1" x14ac:dyDescent="0.25">
      <c r="A19" s="48"/>
      <c r="B19" s="48">
        <v>11482020</v>
      </c>
      <c r="C19" s="48" t="s">
        <v>355</v>
      </c>
      <c r="D19" s="48"/>
      <c r="E19" s="52" t="s">
        <v>175</v>
      </c>
      <c r="F19" s="52" t="s">
        <v>7</v>
      </c>
      <c r="G19" s="52" t="s">
        <v>20</v>
      </c>
      <c r="H19" s="48" t="s">
        <v>280</v>
      </c>
      <c r="I19" s="53">
        <v>150000</v>
      </c>
      <c r="J19" s="54">
        <v>0</v>
      </c>
      <c r="K19" s="48"/>
      <c r="L19" s="55">
        <v>0</v>
      </c>
      <c r="M19" s="52">
        <v>150000</v>
      </c>
      <c r="N19" s="4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72"/>
    </row>
    <row r="20" spans="1:49" s="32" customFormat="1" x14ac:dyDescent="0.25">
      <c r="A20" s="48"/>
      <c r="B20" s="48">
        <v>21852020</v>
      </c>
      <c r="C20" s="48" t="s">
        <v>356</v>
      </c>
      <c r="D20" s="48"/>
      <c r="E20" s="52" t="s">
        <v>175</v>
      </c>
      <c r="F20" s="52" t="s">
        <v>7</v>
      </c>
      <c r="G20" s="52" t="s">
        <v>20</v>
      </c>
      <c r="H20" s="48" t="s">
        <v>130</v>
      </c>
      <c r="I20" s="53">
        <v>50000</v>
      </c>
      <c r="J20" s="54">
        <v>0</v>
      </c>
      <c r="K20" s="48"/>
      <c r="L20" s="55">
        <v>0</v>
      </c>
      <c r="M20" s="52">
        <v>50000</v>
      </c>
      <c r="N20" s="4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72"/>
    </row>
    <row r="21" spans="1:49" s="32" customFormat="1" x14ac:dyDescent="0.25">
      <c r="A21" s="48"/>
      <c r="B21" s="48">
        <v>21662019</v>
      </c>
      <c r="C21" s="48" t="s">
        <v>358</v>
      </c>
      <c r="D21" s="48"/>
      <c r="E21" s="52" t="s">
        <v>175</v>
      </c>
      <c r="F21" s="52" t="s">
        <v>7</v>
      </c>
      <c r="G21" s="52" t="s">
        <v>20</v>
      </c>
      <c r="H21" s="48" t="s">
        <v>28</v>
      </c>
      <c r="I21" s="53">
        <v>11000</v>
      </c>
      <c r="J21" s="54">
        <v>2000</v>
      </c>
      <c r="K21" s="48"/>
      <c r="L21" s="55">
        <v>0.18181818181818182</v>
      </c>
      <c r="M21" s="52">
        <v>13000</v>
      </c>
      <c r="N21" s="4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72"/>
    </row>
    <row r="22" spans="1:49" s="32" customFormat="1" x14ac:dyDescent="0.25">
      <c r="A22" s="48"/>
      <c r="B22" s="48">
        <v>21702019</v>
      </c>
      <c r="C22" s="48" t="s">
        <v>359</v>
      </c>
      <c r="D22" s="48"/>
      <c r="E22" s="52" t="s">
        <v>175</v>
      </c>
      <c r="F22" s="52" t="s">
        <v>7</v>
      </c>
      <c r="G22" s="52" t="s">
        <v>20</v>
      </c>
      <c r="H22" s="48" t="s">
        <v>28</v>
      </c>
      <c r="I22" s="53">
        <v>10000</v>
      </c>
      <c r="J22" s="54">
        <v>2000</v>
      </c>
      <c r="K22" s="48"/>
      <c r="L22" s="55">
        <v>0.2</v>
      </c>
      <c r="M22" s="52">
        <v>12000</v>
      </c>
      <c r="N22" s="4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72"/>
    </row>
    <row r="23" spans="1:49" s="32" customFormat="1" x14ac:dyDescent="0.25">
      <c r="A23" s="48"/>
      <c r="B23" s="48">
        <v>21492019</v>
      </c>
      <c r="C23" s="48" t="s">
        <v>361</v>
      </c>
      <c r="D23" s="48"/>
      <c r="E23" s="52" t="s">
        <v>175</v>
      </c>
      <c r="F23" s="52" t="s">
        <v>7</v>
      </c>
      <c r="G23" s="52" t="s">
        <v>20</v>
      </c>
      <c r="H23" s="48" t="s">
        <v>207</v>
      </c>
      <c r="I23" s="53">
        <v>10000</v>
      </c>
      <c r="J23" s="54">
        <v>2000</v>
      </c>
      <c r="K23" s="48"/>
      <c r="L23" s="55">
        <v>0.2</v>
      </c>
      <c r="M23" s="52">
        <v>12000</v>
      </c>
      <c r="N23" s="4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72"/>
    </row>
    <row r="24" spans="1:49" s="32" customFormat="1" x14ac:dyDescent="0.25">
      <c r="A24" s="48"/>
      <c r="B24" s="48">
        <v>21592019</v>
      </c>
      <c r="C24" s="48" t="s">
        <v>362</v>
      </c>
      <c r="D24" s="48"/>
      <c r="E24" s="52" t="s">
        <v>175</v>
      </c>
      <c r="F24" s="52" t="s">
        <v>7</v>
      </c>
      <c r="G24" s="52" t="s">
        <v>20</v>
      </c>
      <c r="H24" s="48" t="s">
        <v>207</v>
      </c>
      <c r="I24" s="53">
        <v>8000</v>
      </c>
      <c r="J24" s="54">
        <v>3000</v>
      </c>
      <c r="K24" s="48"/>
      <c r="L24" s="55">
        <v>0.375</v>
      </c>
      <c r="M24" s="52">
        <v>11000</v>
      </c>
      <c r="N24" s="4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72"/>
    </row>
    <row r="25" spans="1:49" s="32" customFormat="1" x14ac:dyDescent="0.25">
      <c r="A25" s="48"/>
      <c r="B25" s="48">
        <v>21652019</v>
      </c>
      <c r="C25" s="48" t="s">
        <v>363</v>
      </c>
      <c r="D25" s="48"/>
      <c r="E25" s="52" t="s">
        <v>175</v>
      </c>
      <c r="F25" s="52" t="s">
        <v>7</v>
      </c>
      <c r="G25" s="52" t="s">
        <v>20</v>
      </c>
      <c r="H25" s="48" t="s">
        <v>207</v>
      </c>
      <c r="I25" s="53">
        <v>9000</v>
      </c>
      <c r="J25" s="54">
        <v>2000</v>
      </c>
      <c r="K25" s="48"/>
      <c r="L25" s="55">
        <v>0.22222222222222221</v>
      </c>
      <c r="M25" s="52">
        <v>11000</v>
      </c>
      <c r="N25" s="4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72"/>
    </row>
    <row r="26" spans="1:49" s="32" customFormat="1" x14ac:dyDescent="0.25">
      <c r="A26" s="48"/>
      <c r="B26" s="48">
        <v>21672019</v>
      </c>
      <c r="C26" s="48" t="s">
        <v>364</v>
      </c>
      <c r="D26" s="48"/>
      <c r="E26" s="52" t="s">
        <v>175</v>
      </c>
      <c r="F26" s="52" t="s">
        <v>7</v>
      </c>
      <c r="G26" s="52" t="s">
        <v>20</v>
      </c>
      <c r="H26" s="48" t="s">
        <v>207</v>
      </c>
      <c r="I26" s="53">
        <v>9000</v>
      </c>
      <c r="J26" s="54">
        <v>2000</v>
      </c>
      <c r="K26" s="48"/>
      <c r="L26" s="55">
        <v>0.22222222222222221</v>
      </c>
      <c r="M26" s="52">
        <v>11000</v>
      </c>
      <c r="N26" s="4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72"/>
    </row>
    <row r="27" spans="1:49" s="32" customFormat="1" x14ac:dyDescent="0.25">
      <c r="A27" s="48"/>
      <c r="B27" s="48">
        <v>11012018</v>
      </c>
      <c r="C27" s="48" t="s">
        <v>56</v>
      </c>
      <c r="D27" s="48"/>
      <c r="E27" s="52" t="s">
        <v>175</v>
      </c>
      <c r="F27" s="52" t="s">
        <v>7</v>
      </c>
      <c r="G27" s="52" t="s">
        <v>37</v>
      </c>
      <c r="H27" s="48" t="s">
        <v>136</v>
      </c>
      <c r="I27" s="53">
        <v>155000</v>
      </c>
      <c r="J27" s="54">
        <v>15000</v>
      </c>
      <c r="K27" s="48"/>
      <c r="L27" s="55">
        <v>9.6774193548387094E-2</v>
      </c>
      <c r="M27" s="52">
        <v>170000</v>
      </c>
      <c r="N27" s="4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72"/>
    </row>
    <row r="28" spans="1:49" s="32" customFormat="1" x14ac:dyDescent="0.25">
      <c r="A28" s="48"/>
      <c r="B28" s="48">
        <v>20282010</v>
      </c>
      <c r="C28" s="48" t="s">
        <v>57</v>
      </c>
      <c r="D28" s="48"/>
      <c r="E28" s="52" t="s">
        <v>175</v>
      </c>
      <c r="F28" s="52" t="s">
        <v>7</v>
      </c>
      <c r="G28" s="52" t="s">
        <v>37</v>
      </c>
      <c r="H28" s="48" t="s">
        <v>4</v>
      </c>
      <c r="I28" s="53">
        <v>66000</v>
      </c>
      <c r="J28" s="54">
        <v>12000</v>
      </c>
      <c r="K28" s="48"/>
      <c r="L28" s="55">
        <v>0.18181818181818182</v>
      </c>
      <c r="M28" s="52">
        <v>78000</v>
      </c>
      <c r="N28" s="4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72"/>
    </row>
    <row r="29" spans="1:49" s="32" customFormat="1" x14ac:dyDescent="0.25">
      <c r="A29" s="48"/>
      <c r="B29" s="48">
        <v>21132017</v>
      </c>
      <c r="C29" s="48" t="s">
        <v>58</v>
      </c>
      <c r="D29" s="48"/>
      <c r="E29" s="52" t="s">
        <v>175</v>
      </c>
      <c r="F29" s="52" t="s">
        <v>7</v>
      </c>
      <c r="G29" s="52" t="s">
        <v>37</v>
      </c>
      <c r="H29" s="48" t="s">
        <v>4</v>
      </c>
      <c r="I29" s="53">
        <v>50000</v>
      </c>
      <c r="J29" s="54">
        <v>10000</v>
      </c>
      <c r="K29" s="48"/>
      <c r="L29" s="55">
        <v>0.2</v>
      </c>
      <c r="M29" s="52">
        <v>60000</v>
      </c>
      <c r="N29" s="4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72"/>
    </row>
    <row r="30" spans="1:49" s="32" customFormat="1" x14ac:dyDescent="0.25">
      <c r="A30" s="48"/>
      <c r="B30" s="48">
        <v>30572016</v>
      </c>
      <c r="C30" s="48" t="s">
        <v>59</v>
      </c>
      <c r="D30" s="48"/>
      <c r="E30" s="52" t="s">
        <v>175</v>
      </c>
      <c r="F30" s="52" t="s">
        <v>7</v>
      </c>
      <c r="G30" s="52" t="s">
        <v>37</v>
      </c>
      <c r="H30" s="48" t="s">
        <v>4</v>
      </c>
      <c r="I30" s="53">
        <v>34000</v>
      </c>
      <c r="J30" s="54">
        <v>10000</v>
      </c>
      <c r="K30" s="48"/>
      <c r="L30" s="55">
        <v>0.29411764705882354</v>
      </c>
      <c r="M30" s="52">
        <v>44000</v>
      </c>
      <c r="N30" s="4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72"/>
    </row>
    <row r="31" spans="1:49" s="32" customFormat="1" x14ac:dyDescent="0.25">
      <c r="A31" s="48"/>
      <c r="B31" s="48">
        <v>21452019</v>
      </c>
      <c r="C31" s="48" t="s">
        <v>220</v>
      </c>
      <c r="D31" s="48"/>
      <c r="E31" s="52" t="s">
        <v>175</v>
      </c>
      <c r="F31" s="52" t="s">
        <v>7</v>
      </c>
      <c r="G31" s="52" t="s">
        <v>37</v>
      </c>
      <c r="H31" s="48" t="s">
        <v>221</v>
      </c>
      <c r="I31" s="53">
        <v>16000</v>
      </c>
      <c r="J31" s="54">
        <v>5000</v>
      </c>
      <c r="K31" s="48"/>
      <c r="L31" s="55">
        <v>0.3125</v>
      </c>
      <c r="M31" s="52">
        <v>21000</v>
      </c>
      <c r="N31" s="4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72"/>
    </row>
    <row r="32" spans="1:49" s="32" customFormat="1" x14ac:dyDescent="0.25">
      <c r="A32" s="48"/>
      <c r="B32" s="48">
        <v>11432020</v>
      </c>
      <c r="C32" s="48" t="s">
        <v>274</v>
      </c>
      <c r="D32" s="48"/>
      <c r="E32" s="52" t="s">
        <v>175</v>
      </c>
      <c r="F32" s="52" t="s">
        <v>7</v>
      </c>
      <c r="G32" s="52" t="s">
        <v>37</v>
      </c>
      <c r="H32" s="48" t="s">
        <v>3</v>
      </c>
      <c r="I32" s="53">
        <v>35000</v>
      </c>
      <c r="J32" s="54">
        <v>0</v>
      </c>
      <c r="K32" s="48"/>
      <c r="L32" s="55"/>
      <c r="M32" s="52">
        <v>35000</v>
      </c>
      <c r="N32" s="4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72"/>
    </row>
    <row r="33" spans="1:49" s="32" customFormat="1" x14ac:dyDescent="0.25">
      <c r="A33" s="48"/>
      <c r="B33" s="48">
        <v>20072000</v>
      </c>
      <c r="C33" s="48" t="s">
        <v>75</v>
      </c>
      <c r="D33" s="48"/>
      <c r="E33" s="52" t="s">
        <v>175</v>
      </c>
      <c r="F33" s="52" t="s">
        <v>7</v>
      </c>
      <c r="G33" s="52" t="s">
        <v>19</v>
      </c>
      <c r="H33" s="48" t="s">
        <v>139</v>
      </c>
      <c r="I33" s="53">
        <v>59000</v>
      </c>
      <c r="J33" s="54">
        <v>8000</v>
      </c>
      <c r="K33" s="48"/>
      <c r="L33" s="55">
        <v>0.13559322033898305</v>
      </c>
      <c r="M33" s="52">
        <v>67000</v>
      </c>
      <c r="N33" s="4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72"/>
    </row>
    <row r="34" spans="1:49" s="32" customFormat="1" x14ac:dyDescent="0.25">
      <c r="A34" s="48"/>
      <c r="B34" s="48">
        <v>20122009</v>
      </c>
      <c r="C34" s="48" t="s">
        <v>77</v>
      </c>
      <c r="D34" s="48"/>
      <c r="E34" s="52" t="s">
        <v>175</v>
      </c>
      <c r="F34" s="52" t="s">
        <v>7</v>
      </c>
      <c r="G34" s="52" t="s">
        <v>19</v>
      </c>
      <c r="H34" s="48" t="s">
        <v>6</v>
      </c>
      <c r="I34" s="53">
        <v>41000</v>
      </c>
      <c r="J34" s="54">
        <v>5000</v>
      </c>
      <c r="K34" s="48"/>
      <c r="L34" s="55">
        <v>0.12195121951219512</v>
      </c>
      <c r="M34" s="52">
        <v>46000</v>
      </c>
      <c r="N34" s="4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72"/>
    </row>
    <row r="35" spans="1:49" s="32" customFormat="1" x14ac:dyDescent="0.25">
      <c r="A35" s="48"/>
      <c r="B35" s="48">
        <v>21142017</v>
      </c>
      <c r="C35" s="48" t="s">
        <v>78</v>
      </c>
      <c r="D35" s="48"/>
      <c r="E35" s="52" t="s">
        <v>175</v>
      </c>
      <c r="F35" s="52" t="s">
        <v>7</v>
      </c>
      <c r="G35" s="52" t="s">
        <v>19</v>
      </c>
      <c r="H35" s="48" t="s">
        <v>6</v>
      </c>
      <c r="I35" s="53">
        <v>27000</v>
      </c>
      <c r="J35" s="54">
        <v>8000</v>
      </c>
      <c r="K35" s="48"/>
      <c r="L35" s="55">
        <v>0.29629629629629628</v>
      </c>
      <c r="M35" s="52">
        <v>35000</v>
      </c>
      <c r="N35" s="4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72"/>
    </row>
    <row r="36" spans="1:49" s="32" customFormat="1" x14ac:dyDescent="0.25">
      <c r="A36" s="48"/>
      <c r="B36" s="48">
        <v>10542014</v>
      </c>
      <c r="C36" s="48" t="s">
        <v>79</v>
      </c>
      <c r="D36" s="48"/>
      <c r="E36" s="52" t="s">
        <v>175</v>
      </c>
      <c r="F36" s="52" t="s">
        <v>7</v>
      </c>
      <c r="G36" s="52" t="s">
        <v>19</v>
      </c>
      <c r="H36" s="48" t="s">
        <v>3</v>
      </c>
      <c r="I36" s="53">
        <v>29000</v>
      </c>
      <c r="J36" s="54">
        <v>6000</v>
      </c>
      <c r="K36" s="48"/>
      <c r="L36" s="55">
        <v>0.20689655172413793</v>
      </c>
      <c r="M36" s="52">
        <v>35000</v>
      </c>
      <c r="N36" s="4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72"/>
    </row>
    <row r="37" spans="1:49" s="32" customFormat="1" x14ac:dyDescent="0.25">
      <c r="A37" s="48"/>
      <c r="B37" s="48">
        <v>10192011</v>
      </c>
      <c r="C37" s="48" t="s">
        <v>80</v>
      </c>
      <c r="D37" s="48"/>
      <c r="E37" s="52" t="s">
        <v>175</v>
      </c>
      <c r="F37" s="52" t="s">
        <v>7</v>
      </c>
      <c r="G37" s="52" t="s">
        <v>19</v>
      </c>
      <c r="H37" s="48" t="s">
        <v>6</v>
      </c>
      <c r="I37" s="53">
        <v>32000</v>
      </c>
      <c r="J37" s="54">
        <v>6000</v>
      </c>
      <c r="K37" s="48"/>
      <c r="L37" s="55">
        <v>0.1875</v>
      </c>
      <c r="M37" s="52">
        <v>38000</v>
      </c>
      <c r="N37" s="4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72"/>
    </row>
    <row r="38" spans="1:49" s="32" customFormat="1" x14ac:dyDescent="0.25">
      <c r="A38" s="48"/>
      <c r="B38" s="48">
        <v>20062000</v>
      </c>
      <c r="C38" s="48" t="s">
        <v>81</v>
      </c>
      <c r="D38" s="48"/>
      <c r="E38" s="52" t="s">
        <v>175</v>
      </c>
      <c r="F38" s="52" t="s">
        <v>7</v>
      </c>
      <c r="G38" s="52" t="s">
        <v>19</v>
      </c>
      <c r="H38" s="48" t="s">
        <v>139</v>
      </c>
      <c r="I38" s="53">
        <v>68000</v>
      </c>
      <c r="J38" s="54">
        <v>12000</v>
      </c>
      <c r="K38" s="48"/>
      <c r="L38" s="55">
        <v>0.17647058823529413</v>
      </c>
      <c r="M38" s="52">
        <v>80000</v>
      </c>
      <c r="N38" s="4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72"/>
    </row>
    <row r="39" spans="1:49" s="32" customFormat="1" x14ac:dyDescent="0.25">
      <c r="A39" s="48"/>
      <c r="B39" s="48">
        <v>21312018</v>
      </c>
      <c r="C39" s="48" t="s">
        <v>193</v>
      </c>
      <c r="D39" s="48"/>
      <c r="E39" s="52" t="s">
        <v>175</v>
      </c>
      <c r="F39" s="52" t="s">
        <v>7</v>
      </c>
      <c r="G39" s="52" t="s">
        <v>19</v>
      </c>
      <c r="H39" s="48" t="s">
        <v>8</v>
      </c>
      <c r="I39" s="53">
        <v>20000</v>
      </c>
      <c r="J39" s="54">
        <v>6000</v>
      </c>
      <c r="K39" s="48"/>
      <c r="L39" s="55">
        <v>0.3</v>
      </c>
      <c r="M39" s="52">
        <v>26000</v>
      </c>
      <c r="N39" s="4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72"/>
    </row>
    <row r="40" spans="1:49" s="32" customFormat="1" x14ac:dyDescent="0.25">
      <c r="A40" s="48"/>
      <c r="B40" s="48">
        <v>10212011</v>
      </c>
      <c r="C40" s="48" t="s">
        <v>84</v>
      </c>
      <c r="D40" s="48"/>
      <c r="E40" s="52" t="s">
        <v>175</v>
      </c>
      <c r="F40" s="52" t="s">
        <v>7</v>
      </c>
      <c r="G40" s="52" t="s">
        <v>19</v>
      </c>
      <c r="H40" s="48" t="s">
        <v>9</v>
      </c>
      <c r="I40" s="53">
        <v>27000</v>
      </c>
      <c r="J40" s="54">
        <v>5000</v>
      </c>
      <c r="K40" s="48"/>
      <c r="L40" s="55">
        <v>0.18518518518518517</v>
      </c>
      <c r="M40" s="52">
        <v>32000</v>
      </c>
      <c r="N40" s="4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72"/>
    </row>
    <row r="41" spans="1:49" s="32" customFormat="1" x14ac:dyDescent="0.25">
      <c r="A41" s="48"/>
      <c r="B41" s="48">
        <v>10222012</v>
      </c>
      <c r="C41" s="48" t="s">
        <v>297</v>
      </c>
      <c r="D41" s="48"/>
      <c r="E41" s="52" t="s">
        <v>175</v>
      </c>
      <c r="F41" s="52" t="s">
        <v>7</v>
      </c>
      <c r="G41" s="52" t="s">
        <v>19</v>
      </c>
      <c r="H41" s="48" t="s">
        <v>9</v>
      </c>
      <c r="I41" s="53">
        <v>30000</v>
      </c>
      <c r="J41" s="54">
        <v>5000</v>
      </c>
      <c r="K41" s="48"/>
      <c r="L41" s="55">
        <v>0.16666666666666666</v>
      </c>
      <c r="M41" s="52">
        <v>35000</v>
      </c>
      <c r="N41" s="4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72"/>
    </row>
    <row r="42" spans="1:49" s="32" customFormat="1" x14ac:dyDescent="0.25">
      <c r="A42" s="48"/>
      <c r="B42" s="48">
        <v>10522014</v>
      </c>
      <c r="C42" s="48" t="s">
        <v>85</v>
      </c>
      <c r="D42" s="48"/>
      <c r="E42" s="52" t="s">
        <v>175</v>
      </c>
      <c r="F42" s="52" t="s">
        <v>7</v>
      </c>
      <c r="G42" s="52" t="s">
        <v>19</v>
      </c>
      <c r="H42" s="48" t="s">
        <v>9</v>
      </c>
      <c r="I42" s="53">
        <v>23000</v>
      </c>
      <c r="J42" s="54">
        <v>5000</v>
      </c>
      <c r="K42" s="48"/>
      <c r="L42" s="55">
        <v>0.21739130434782608</v>
      </c>
      <c r="M42" s="52">
        <v>28000</v>
      </c>
      <c r="N42" s="4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72"/>
    </row>
    <row r="43" spans="1:49" s="32" customFormat="1" x14ac:dyDescent="0.25">
      <c r="A43" s="48"/>
      <c r="B43" s="48">
        <v>20892017</v>
      </c>
      <c r="C43" s="48" t="s">
        <v>86</v>
      </c>
      <c r="D43" s="48"/>
      <c r="E43" s="52" t="s">
        <v>175</v>
      </c>
      <c r="F43" s="52" t="s">
        <v>7</v>
      </c>
      <c r="G43" s="52" t="s">
        <v>19</v>
      </c>
      <c r="H43" s="48" t="s">
        <v>35</v>
      </c>
      <c r="I43" s="53">
        <v>20000</v>
      </c>
      <c r="J43" s="54">
        <v>5000</v>
      </c>
      <c r="K43" s="48"/>
      <c r="L43" s="55">
        <v>0.25</v>
      </c>
      <c r="M43" s="52">
        <v>25000</v>
      </c>
      <c r="N43" s="4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72"/>
    </row>
    <row r="44" spans="1:49" s="32" customFormat="1" x14ac:dyDescent="0.25">
      <c r="A44" s="48"/>
      <c r="B44" s="48">
        <v>10602007</v>
      </c>
      <c r="C44" s="48" t="s">
        <v>87</v>
      </c>
      <c r="D44" s="48"/>
      <c r="E44" s="52" t="s">
        <v>175</v>
      </c>
      <c r="F44" s="52" t="s">
        <v>7</v>
      </c>
      <c r="G44" s="52" t="s">
        <v>19</v>
      </c>
      <c r="H44" s="48" t="s">
        <v>9</v>
      </c>
      <c r="I44" s="53">
        <v>22000</v>
      </c>
      <c r="J44" s="54">
        <v>3000</v>
      </c>
      <c r="K44" s="48"/>
      <c r="L44" s="55">
        <v>0.13636363636363635</v>
      </c>
      <c r="M44" s="52">
        <v>25000</v>
      </c>
      <c r="N44" s="4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72"/>
    </row>
    <row r="45" spans="1:49" s="32" customFormat="1" x14ac:dyDescent="0.25">
      <c r="A45" s="48"/>
      <c r="B45" s="48">
        <v>10022004</v>
      </c>
      <c r="C45" s="48" t="s">
        <v>89</v>
      </c>
      <c r="D45" s="48"/>
      <c r="E45" s="52" t="s">
        <v>175</v>
      </c>
      <c r="F45" s="52" t="s">
        <v>7</v>
      </c>
      <c r="G45" s="52" t="s">
        <v>19</v>
      </c>
      <c r="H45" s="48" t="s">
        <v>151</v>
      </c>
      <c r="I45" s="53">
        <v>175000</v>
      </c>
      <c r="J45" s="54">
        <v>0</v>
      </c>
      <c r="K45" s="48"/>
      <c r="L45" s="55">
        <v>0</v>
      </c>
      <c r="M45" s="52">
        <v>175000</v>
      </c>
      <c r="N45" s="4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72"/>
    </row>
    <row r="46" spans="1:49" s="32" customFormat="1" x14ac:dyDescent="0.25">
      <c r="A46" s="48"/>
      <c r="B46" s="48">
        <v>20142012</v>
      </c>
      <c r="C46" s="48" t="s">
        <v>91</v>
      </c>
      <c r="D46" s="48"/>
      <c r="E46" s="52" t="s">
        <v>175</v>
      </c>
      <c r="F46" s="52" t="s">
        <v>7</v>
      </c>
      <c r="G46" s="52" t="s">
        <v>19</v>
      </c>
      <c r="H46" s="48" t="s">
        <v>3</v>
      </c>
      <c r="I46" s="53">
        <v>42000</v>
      </c>
      <c r="J46" s="54">
        <v>10000</v>
      </c>
      <c r="K46" s="48"/>
      <c r="L46" s="55">
        <v>0.23809523809523808</v>
      </c>
      <c r="M46" s="52">
        <v>52000</v>
      </c>
      <c r="N46" s="4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72"/>
    </row>
    <row r="47" spans="1:49" s="32" customFormat="1" x14ac:dyDescent="0.25">
      <c r="A47" s="48"/>
      <c r="B47" s="48">
        <v>21162017</v>
      </c>
      <c r="C47" s="48" t="s">
        <v>92</v>
      </c>
      <c r="D47" s="48"/>
      <c r="E47" s="52" t="s">
        <v>175</v>
      </c>
      <c r="F47" s="52" t="s">
        <v>7</v>
      </c>
      <c r="G47" s="52" t="s">
        <v>19</v>
      </c>
      <c r="H47" s="48" t="s">
        <v>8</v>
      </c>
      <c r="I47" s="53">
        <v>30000</v>
      </c>
      <c r="J47" s="54">
        <v>5000</v>
      </c>
      <c r="K47" s="48"/>
      <c r="L47" s="55">
        <v>0.16666666666666666</v>
      </c>
      <c r="M47" s="52">
        <v>35000</v>
      </c>
      <c r="N47" s="4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72"/>
    </row>
    <row r="48" spans="1:49" s="32" customFormat="1" x14ac:dyDescent="0.25">
      <c r="A48" s="48"/>
      <c r="B48" s="48">
        <v>11132018</v>
      </c>
      <c r="C48" s="48" t="s">
        <v>185</v>
      </c>
      <c r="D48" s="48"/>
      <c r="E48" s="52" t="s">
        <v>175</v>
      </c>
      <c r="F48" s="52" t="s">
        <v>7</v>
      </c>
      <c r="G48" s="52" t="s">
        <v>19</v>
      </c>
      <c r="H48" s="48" t="s">
        <v>4</v>
      </c>
      <c r="I48" s="53">
        <v>39000</v>
      </c>
      <c r="J48" s="54">
        <v>6000</v>
      </c>
      <c r="K48" s="48"/>
      <c r="L48" s="55">
        <v>0.15384615384615385</v>
      </c>
      <c r="M48" s="52">
        <v>45000</v>
      </c>
      <c r="N48" s="4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72"/>
    </row>
    <row r="49" spans="1:49" s="32" customFormat="1" x14ac:dyDescent="0.25">
      <c r="A49" s="48"/>
      <c r="B49" s="48">
        <v>10152009</v>
      </c>
      <c r="C49" s="48" t="s">
        <v>93</v>
      </c>
      <c r="D49" s="48"/>
      <c r="E49" s="52" t="s">
        <v>175</v>
      </c>
      <c r="F49" s="52" t="s">
        <v>7</v>
      </c>
      <c r="G49" s="52" t="s">
        <v>19</v>
      </c>
      <c r="H49" s="48" t="s">
        <v>9</v>
      </c>
      <c r="I49" s="53">
        <v>35000</v>
      </c>
      <c r="J49" s="54">
        <v>5000</v>
      </c>
      <c r="K49" s="48"/>
      <c r="L49" s="55">
        <v>0.14285714285714285</v>
      </c>
      <c r="M49" s="52">
        <v>40000</v>
      </c>
      <c r="N49" s="4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72"/>
    </row>
    <row r="50" spans="1:49" s="32" customFormat="1" x14ac:dyDescent="0.25">
      <c r="A50" s="48"/>
      <c r="B50" s="48">
        <v>20162010</v>
      </c>
      <c r="C50" s="48" t="s">
        <v>94</v>
      </c>
      <c r="D50" s="48"/>
      <c r="E50" s="52" t="s">
        <v>175</v>
      </c>
      <c r="F50" s="52" t="s">
        <v>7</v>
      </c>
      <c r="G50" s="52" t="s">
        <v>19</v>
      </c>
      <c r="H50" s="48" t="s">
        <v>3</v>
      </c>
      <c r="I50" s="53">
        <v>36000</v>
      </c>
      <c r="J50" s="54">
        <v>5000</v>
      </c>
      <c r="K50" s="48"/>
      <c r="L50" s="55">
        <v>0.1388888888888889</v>
      </c>
      <c r="M50" s="52">
        <v>41000</v>
      </c>
      <c r="N50" s="4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72"/>
    </row>
    <row r="51" spans="1:49" s="32" customFormat="1" x14ac:dyDescent="0.25">
      <c r="A51" s="48"/>
      <c r="B51" s="48">
        <v>20822016</v>
      </c>
      <c r="C51" s="48" t="s">
        <v>95</v>
      </c>
      <c r="D51" s="48"/>
      <c r="E51" s="52" t="s">
        <v>175</v>
      </c>
      <c r="F51" s="52" t="s">
        <v>7</v>
      </c>
      <c r="G51" s="52" t="s">
        <v>19</v>
      </c>
      <c r="H51" s="48" t="s">
        <v>6</v>
      </c>
      <c r="I51" s="53">
        <v>22000</v>
      </c>
      <c r="J51" s="54">
        <v>5000</v>
      </c>
      <c r="K51" s="48"/>
      <c r="L51" s="55">
        <v>0.22727272727272727</v>
      </c>
      <c r="M51" s="52">
        <v>27000</v>
      </c>
      <c r="N51" s="4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72"/>
    </row>
    <row r="52" spans="1:49" s="32" customFormat="1" x14ac:dyDescent="0.25">
      <c r="A52" s="48"/>
      <c r="B52" s="48">
        <v>21222018</v>
      </c>
      <c r="C52" s="48" t="s">
        <v>96</v>
      </c>
      <c r="D52" s="48"/>
      <c r="E52" s="52" t="s">
        <v>175</v>
      </c>
      <c r="F52" s="52" t="s">
        <v>7</v>
      </c>
      <c r="G52" s="52" t="s">
        <v>19</v>
      </c>
      <c r="H52" s="48" t="s">
        <v>8</v>
      </c>
      <c r="I52" s="53">
        <v>28000</v>
      </c>
      <c r="J52" s="54">
        <v>5000</v>
      </c>
      <c r="K52" s="48"/>
      <c r="L52" s="55">
        <v>0.17857142857142858</v>
      </c>
      <c r="M52" s="52">
        <v>33000</v>
      </c>
      <c r="N52" s="4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72"/>
    </row>
    <row r="53" spans="1:49" s="32" customFormat="1" x14ac:dyDescent="0.25">
      <c r="A53" s="48"/>
      <c r="B53" s="48">
        <v>21282018</v>
      </c>
      <c r="C53" s="48" t="s">
        <v>97</v>
      </c>
      <c r="D53" s="48"/>
      <c r="E53" s="52" t="s">
        <v>175</v>
      </c>
      <c r="F53" s="52" t="s">
        <v>7</v>
      </c>
      <c r="G53" s="52" t="s">
        <v>19</v>
      </c>
      <c r="H53" s="48" t="s">
        <v>8</v>
      </c>
      <c r="I53" s="53">
        <v>25000</v>
      </c>
      <c r="J53" s="54">
        <v>5000</v>
      </c>
      <c r="K53" s="48"/>
      <c r="L53" s="55">
        <v>0.2</v>
      </c>
      <c r="M53" s="52">
        <v>30000</v>
      </c>
      <c r="N53" s="4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72"/>
    </row>
    <row r="54" spans="1:49" s="32" customFormat="1" x14ac:dyDescent="0.25">
      <c r="A54" s="48"/>
      <c r="B54" s="48">
        <v>20462013</v>
      </c>
      <c r="C54" s="48" t="s">
        <v>98</v>
      </c>
      <c r="D54" s="48"/>
      <c r="E54" s="52" t="s">
        <v>175</v>
      </c>
      <c r="F54" s="52" t="s">
        <v>7</v>
      </c>
      <c r="G54" s="52" t="s">
        <v>19</v>
      </c>
      <c r="H54" s="48" t="s">
        <v>9</v>
      </c>
      <c r="I54" s="53">
        <v>24000</v>
      </c>
      <c r="J54" s="54">
        <v>6000</v>
      </c>
      <c r="K54" s="48"/>
      <c r="L54" s="55">
        <v>0.25</v>
      </c>
      <c r="M54" s="52">
        <v>30000</v>
      </c>
      <c r="N54" s="4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72"/>
    </row>
    <row r="55" spans="1:49" s="32" customFormat="1" x14ac:dyDescent="0.25">
      <c r="A55" s="48"/>
      <c r="B55" s="48">
        <v>10412012</v>
      </c>
      <c r="C55" s="48" t="s">
        <v>99</v>
      </c>
      <c r="D55" s="48"/>
      <c r="E55" s="52" t="s">
        <v>175</v>
      </c>
      <c r="F55" s="52" t="s">
        <v>7</v>
      </c>
      <c r="G55" s="52" t="s">
        <v>19</v>
      </c>
      <c r="H55" s="48" t="s">
        <v>9</v>
      </c>
      <c r="I55" s="53">
        <v>25000</v>
      </c>
      <c r="J55" s="54">
        <v>5000</v>
      </c>
      <c r="K55" s="48"/>
      <c r="L55" s="55">
        <v>0.2</v>
      </c>
      <c r="M55" s="52">
        <v>30000</v>
      </c>
      <c r="N55" s="4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72"/>
    </row>
    <row r="56" spans="1:49" s="32" customFormat="1" x14ac:dyDescent="0.25">
      <c r="A56" s="48"/>
      <c r="B56" s="48">
        <v>11042018</v>
      </c>
      <c r="C56" s="48" t="s">
        <v>187</v>
      </c>
      <c r="D56" s="48"/>
      <c r="E56" s="52" t="s">
        <v>175</v>
      </c>
      <c r="F56" s="52" t="s">
        <v>7</v>
      </c>
      <c r="G56" s="52" t="s">
        <v>19</v>
      </c>
      <c r="H56" s="48" t="s">
        <v>130</v>
      </c>
      <c r="I56" s="53">
        <v>75000</v>
      </c>
      <c r="J56" s="54">
        <v>7000</v>
      </c>
      <c r="K56" s="48"/>
      <c r="L56" s="55">
        <v>9.3333333333333338E-2</v>
      </c>
      <c r="M56" s="52">
        <v>82000</v>
      </c>
      <c r="N56" s="4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72"/>
    </row>
    <row r="57" spans="1:49" s="32" customFormat="1" x14ac:dyDescent="0.25">
      <c r="A57" s="48"/>
      <c r="B57" s="48">
        <v>11122018</v>
      </c>
      <c r="C57" s="48" t="s">
        <v>189</v>
      </c>
      <c r="D57" s="48"/>
      <c r="E57" s="52" t="s">
        <v>175</v>
      </c>
      <c r="F57" s="52" t="s">
        <v>7</v>
      </c>
      <c r="G57" s="52" t="s">
        <v>19</v>
      </c>
      <c r="H57" s="48" t="s">
        <v>8</v>
      </c>
      <c r="I57" s="53">
        <v>22000</v>
      </c>
      <c r="J57" s="54">
        <v>8000</v>
      </c>
      <c r="K57" s="48"/>
      <c r="L57" s="55">
        <v>0.36363636363636365</v>
      </c>
      <c r="M57" s="52">
        <v>30000</v>
      </c>
      <c r="N57" s="4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72"/>
    </row>
    <row r="58" spans="1:49" s="32" customFormat="1" x14ac:dyDescent="0.25">
      <c r="A58" s="48"/>
      <c r="B58" s="48">
        <v>11252018</v>
      </c>
      <c r="C58" s="48" t="s">
        <v>190</v>
      </c>
      <c r="D58" s="48"/>
      <c r="E58" s="52" t="s">
        <v>175</v>
      </c>
      <c r="F58" s="52" t="s">
        <v>7</v>
      </c>
      <c r="G58" s="52" t="s">
        <v>19</v>
      </c>
      <c r="H58" s="48" t="s">
        <v>8</v>
      </c>
      <c r="I58" s="53">
        <v>20000</v>
      </c>
      <c r="J58" s="54">
        <v>5000</v>
      </c>
      <c r="K58" s="48"/>
      <c r="L58" s="55">
        <v>0.25</v>
      </c>
      <c r="M58" s="52">
        <v>25000</v>
      </c>
      <c r="N58" s="4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72"/>
    </row>
    <row r="59" spans="1:49" s="32" customFormat="1" x14ac:dyDescent="0.25">
      <c r="A59" s="48"/>
      <c r="B59" s="48">
        <v>10081999</v>
      </c>
      <c r="C59" s="48" t="s">
        <v>101</v>
      </c>
      <c r="D59" s="48"/>
      <c r="E59" s="52" t="s">
        <v>175</v>
      </c>
      <c r="F59" s="52" t="s">
        <v>7</v>
      </c>
      <c r="G59" s="52" t="s">
        <v>19</v>
      </c>
      <c r="H59" s="48" t="s">
        <v>9</v>
      </c>
      <c r="I59" s="53">
        <v>55000</v>
      </c>
      <c r="J59" s="54">
        <v>7000</v>
      </c>
      <c r="K59" s="48"/>
      <c r="L59" s="55">
        <v>0.12727272727272726</v>
      </c>
      <c r="M59" s="52">
        <v>62000</v>
      </c>
      <c r="N59" s="4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72"/>
    </row>
    <row r="60" spans="1:49" s="32" customFormat="1" x14ac:dyDescent="0.25">
      <c r="A60" s="48"/>
      <c r="B60" s="48">
        <v>21102017</v>
      </c>
      <c r="C60" s="48" t="s">
        <v>105</v>
      </c>
      <c r="D60" s="48"/>
      <c r="E60" s="52" t="s">
        <v>175</v>
      </c>
      <c r="F60" s="52" t="s">
        <v>7</v>
      </c>
      <c r="G60" s="52" t="s">
        <v>19</v>
      </c>
      <c r="H60" s="48" t="s">
        <v>9</v>
      </c>
      <c r="I60" s="53">
        <v>17000</v>
      </c>
      <c r="J60" s="54">
        <v>7000</v>
      </c>
      <c r="K60" s="48"/>
      <c r="L60" s="55">
        <v>0.41176470588235292</v>
      </c>
      <c r="M60" s="52">
        <v>24000</v>
      </c>
      <c r="N60" s="4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72"/>
    </row>
    <row r="61" spans="1:49" s="32" customFormat="1" x14ac:dyDescent="0.25">
      <c r="A61" s="48"/>
      <c r="B61" s="48">
        <v>11342019</v>
      </c>
      <c r="C61" s="48" t="s">
        <v>345</v>
      </c>
      <c r="D61" s="48"/>
      <c r="E61" s="52" t="s">
        <v>175</v>
      </c>
      <c r="F61" s="52" t="s">
        <v>7</v>
      </c>
      <c r="G61" s="52" t="s">
        <v>19</v>
      </c>
      <c r="H61" s="48" t="s">
        <v>8</v>
      </c>
      <c r="I61" s="53">
        <v>15000</v>
      </c>
      <c r="J61" s="54">
        <v>7000</v>
      </c>
      <c r="K61" s="48"/>
      <c r="L61" s="55">
        <v>0.46666666666666667</v>
      </c>
      <c r="M61" s="52">
        <v>22000</v>
      </c>
      <c r="N61" s="4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72"/>
    </row>
    <row r="62" spans="1:49" s="32" customFormat="1" x14ac:dyDescent="0.25">
      <c r="A62" s="48"/>
      <c r="B62" s="48">
        <v>21752020</v>
      </c>
      <c r="C62" s="48" t="s">
        <v>346</v>
      </c>
      <c r="D62" s="48"/>
      <c r="E62" s="52" t="s">
        <v>175</v>
      </c>
      <c r="F62" s="52" t="s">
        <v>7</v>
      </c>
      <c r="G62" s="52" t="s">
        <v>19</v>
      </c>
      <c r="H62" s="48" t="s">
        <v>8</v>
      </c>
      <c r="I62" s="53">
        <v>15000</v>
      </c>
      <c r="J62" s="54">
        <v>5000</v>
      </c>
      <c r="K62" s="48"/>
      <c r="L62" s="55">
        <v>0.33333333333333331</v>
      </c>
      <c r="M62" s="52">
        <v>20000</v>
      </c>
      <c r="N62" s="4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72"/>
    </row>
    <row r="63" spans="1:49" s="32" customFormat="1" x14ac:dyDescent="0.25">
      <c r="A63" s="48"/>
      <c r="B63" s="48">
        <v>11402020</v>
      </c>
      <c r="C63" s="48" t="s">
        <v>103</v>
      </c>
      <c r="D63" s="48"/>
      <c r="E63" s="52" t="s">
        <v>175</v>
      </c>
      <c r="F63" s="52" t="s">
        <v>7</v>
      </c>
      <c r="G63" s="52" t="s">
        <v>19</v>
      </c>
      <c r="H63" s="48" t="s">
        <v>5</v>
      </c>
      <c r="I63" s="53">
        <v>12000</v>
      </c>
      <c r="J63" s="54">
        <v>8000</v>
      </c>
      <c r="K63" s="48"/>
      <c r="L63" s="55">
        <v>0.66666666666666663</v>
      </c>
      <c r="M63" s="52">
        <v>20000</v>
      </c>
      <c r="N63" s="4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72"/>
    </row>
    <row r="64" spans="1:49" s="32" customFormat="1" x14ac:dyDescent="0.25">
      <c r="A64" s="48"/>
      <c r="B64" s="48">
        <v>21812020</v>
      </c>
      <c r="C64" s="48" t="s">
        <v>347</v>
      </c>
      <c r="D64" s="48"/>
      <c r="E64" s="52" t="s">
        <v>175</v>
      </c>
      <c r="F64" s="52" t="s">
        <v>7</v>
      </c>
      <c r="G64" s="52" t="s">
        <v>19</v>
      </c>
      <c r="H64" s="48" t="s">
        <v>6</v>
      </c>
      <c r="I64" s="53">
        <v>14000</v>
      </c>
      <c r="J64" s="54">
        <v>6000</v>
      </c>
      <c r="K64" s="48"/>
      <c r="L64" s="55">
        <v>0.42857142857142855</v>
      </c>
      <c r="M64" s="52">
        <v>20000</v>
      </c>
      <c r="N64" s="4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72"/>
    </row>
    <row r="65" spans="1:49" s="32" customFormat="1" x14ac:dyDescent="0.25">
      <c r="A65" s="48"/>
      <c r="B65" s="48">
        <v>20172012</v>
      </c>
      <c r="C65" s="48" t="s">
        <v>82</v>
      </c>
      <c r="D65" s="48"/>
      <c r="E65" s="52" t="s">
        <v>175</v>
      </c>
      <c r="F65" s="52" t="s">
        <v>7</v>
      </c>
      <c r="G65" s="52" t="s">
        <v>276</v>
      </c>
      <c r="H65" s="48" t="s">
        <v>3</v>
      </c>
      <c r="I65" s="53">
        <v>30000</v>
      </c>
      <c r="J65" s="54">
        <v>7000</v>
      </c>
      <c r="K65" s="48"/>
      <c r="L65" s="55">
        <v>0.23333333333333334</v>
      </c>
      <c r="M65" s="52">
        <v>37000</v>
      </c>
      <c r="N65" s="4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72"/>
    </row>
    <row r="66" spans="1:49" s="32" customFormat="1" x14ac:dyDescent="0.25">
      <c r="A66" s="48"/>
      <c r="B66" s="48">
        <v>20912016</v>
      </c>
      <c r="C66" s="48" t="s">
        <v>102</v>
      </c>
      <c r="D66" s="48"/>
      <c r="E66" s="52" t="s">
        <v>175</v>
      </c>
      <c r="F66" s="52" t="s">
        <v>7</v>
      </c>
      <c r="G66" s="52" t="s">
        <v>276</v>
      </c>
      <c r="H66" s="48" t="s">
        <v>130</v>
      </c>
      <c r="I66" s="53">
        <v>42000</v>
      </c>
      <c r="J66" s="54">
        <v>15000</v>
      </c>
      <c r="K66" s="48"/>
      <c r="L66" s="55">
        <v>0.35714285714285715</v>
      </c>
      <c r="M66" s="52">
        <v>57000</v>
      </c>
      <c r="N66" s="4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72"/>
    </row>
    <row r="67" spans="1:49" s="32" customFormat="1" x14ac:dyDescent="0.25">
      <c r="A67" s="48"/>
      <c r="B67" s="48">
        <v>11242018</v>
      </c>
      <c r="C67" s="48" t="s">
        <v>196</v>
      </c>
      <c r="D67" s="48"/>
      <c r="E67" s="52" t="s">
        <v>175</v>
      </c>
      <c r="F67" s="52" t="s">
        <v>7</v>
      </c>
      <c r="G67" s="52" t="s">
        <v>276</v>
      </c>
      <c r="H67" s="48" t="s">
        <v>21</v>
      </c>
      <c r="I67" s="53">
        <v>40000</v>
      </c>
      <c r="J67" s="54">
        <v>5000</v>
      </c>
      <c r="K67" s="48"/>
      <c r="L67" s="55">
        <v>0.125</v>
      </c>
      <c r="M67" s="52">
        <v>45000</v>
      </c>
      <c r="N67" s="4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72"/>
    </row>
    <row r="68" spans="1:49" s="32" customFormat="1" x14ac:dyDescent="0.25">
      <c r="A68" s="48"/>
      <c r="B68" s="48">
        <v>10712016</v>
      </c>
      <c r="C68" s="48" t="s">
        <v>60</v>
      </c>
      <c r="D68" s="48"/>
      <c r="E68" s="52" t="s">
        <v>175</v>
      </c>
      <c r="F68" s="52" t="s">
        <v>7</v>
      </c>
      <c r="G68" s="52" t="s">
        <v>137</v>
      </c>
      <c r="H68" s="48" t="s">
        <v>21</v>
      </c>
      <c r="I68" s="53">
        <v>47000</v>
      </c>
      <c r="J68" s="54">
        <v>23000</v>
      </c>
      <c r="K68" s="48"/>
      <c r="L68" s="55">
        <v>0.48936170212765956</v>
      </c>
      <c r="M68" s="52">
        <v>70000</v>
      </c>
      <c r="N68" s="4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72"/>
    </row>
    <row r="69" spans="1:49" s="32" customFormat="1" x14ac:dyDescent="0.25">
      <c r="A69" s="48"/>
      <c r="B69" s="48">
        <v>20352011</v>
      </c>
      <c r="C69" s="48" t="s">
        <v>61</v>
      </c>
      <c r="D69" s="48"/>
      <c r="E69" s="52" t="s">
        <v>175</v>
      </c>
      <c r="F69" s="52" t="s">
        <v>7</v>
      </c>
      <c r="G69" s="52" t="s">
        <v>137</v>
      </c>
      <c r="H69" s="48" t="s">
        <v>4</v>
      </c>
      <c r="I69" s="53">
        <v>36000</v>
      </c>
      <c r="J69" s="54">
        <v>4000</v>
      </c>
      <c r="K69" s="48"/>
      <c r="L69" s="55">
        <v>0.1111111111111111</v>
      </c>
      <c r="M69" s="52">
        <v>40000</v>
      </c>
      <c r="N69" s="4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72"/>
    </row>
    <row r="70" spans="1:49" s="32" customFormat="1" x14ac:dyDescent="0.25">
      <c r="A70" s="48"/>
      <c r="B70" s="48">
        <v>21232018</v>
      </c>
      <c r="C70" s="48" t="s">
        <v>62</v>
      </c>
      <c r="D70" s="48"/>
      <c r="E70" s="52" t="s">
        <v>175</v>
      </c>
      <c r="F70" s="52" t="s">
        <v>7</v>
      </c>
      <c r="G70" s="52" t="s">
        <v>137</v>
      </c>
      <c r="H70" s="48" t="s">
        <v>3</v>
      </c>
      <c r="I70" s="53">
        <v>25000</v>
      </c>
      <c r="J70" s="54">
        <v>5000</v>
      </c>
      <c r="K70" s="48"/>
      <c r="L70" s="55">
        <v>0.2</v>
      </c>
      <c r="M70" s="52">
        <v>30000</v>
      </c>
      <c r="N70" s="4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72"/>
    </row>
    <row r="71" spans="1:49" s="32" customFormat="1" x14ac:dyDescent="0.25">
      <c r="A71" s="48"/>
      <c r="B71" s="48">
        <v>20842017</v>
      </c>
      <c r="C71" s="48" t="s">
        <v>63</v>
      </c>
      <c r="D71" s="48"/>
      <c r="E71" s="52" t="s">
        <v>175</v>
      </c>
      <c r="F71" s="52" t="s">
        <v>7</v>
      </c>
      <c r="G71" s="52" t="s">
        <v>137</v>
      </c>
      <c r="H71" s="48" t="s">
        <v>4</v>
      </c>
      <c r="I71" s="53">
        <v>30000</v>
      </c>
      <c r="J71" s="54">
        <v>7000</v>
      </c>
      <c r="K71" s="48"/>
      <c r="L71" s="55">
        <v>0.23333333333333334</v>
      </c>
      <c r="M71" s="52">
        <v>37000</v>
      </c>
      <c r="N71" s="4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72"/>
    </row>
    <row r="72" spans="1:49" s="32" customFormat="1" x14ac:dyDescent="0.25">
      <c r="A72" s="48"/>
      <c r="B72" s="48">
        <v>11452020</v>
      </c>
      <c r="C72" s="48" t="s">
        <v>341</v>
      </c>
      <c r="D72" s="48"/>
      <c r="E72" s="52" t="s">
        <v>175</v>
      </c>
      <c r="F72" s="52" t="s">
        <v>7</v>
      </c>
      <c r="G72" s="52" t="s">
        <v>137</v>
      </c>
      <c r="H72" s="48" t="s">
        <v>3</v>
      </c>
      <c r="I72" s="53">
        <v>30000</v>
      </c>
      <c r="J72" s="54">
        <v>5000</v>
      </c>
      <c r="K72" s="48"/>
      <c r="L72" s="55">
        <v>0.16666666666666666</v>
      </c>
      <c r="M72" s="52">
        <v>35000</v>
      </c>
      <c r="N72" s="4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72"/>
    </row>
    <row r="73" spans="1:49" s="32" customFormat="1" x14ac:dyDescent="0.25">
      <c r="A73" s="48"/>
      <c r="B73" s="48">
        <v>21842020</v>
      </c>
      <c r="C73" s="48" t="s">
        <v>342</v>
      </c>
      <c r="D73" s="48"/>
      <c r="E73" s="52" t="s">
        <v>175</v>
      </c>
      <c r="F73" s="52" t="s">
        <v>7</v>
      </c>
      <c r="G73" s="52" t="s">
        <v>137</v>
      </c>
      <c r="H73" s="48" t="s">
        <v>3</v>
      </c>
      <c r="I73" s="53">
        <v>28000</v>
      </c>
      <c r="J73" s="54">
        <v>15000</v>
      </c>
      <c r="K73" s="48"/>
      <c r="L73" s="55">
        <v>0.5357142857142857</v>
      </c>
      <c r="M73" s="52">
        <v>43000</v>
      </c>
      <c r="N73" s="4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72"/>
    </row>
    <row r="74" spans="1:49" s="32" customFormat="1" x14ac:dyDescent="0.25">
      <c r="A74" s="48"/>
      <c r="B74" s="48">
        <v>10782016</v>
      </c>
      <c r="C74" s="48" t="s">
        <v>43</v>
      </c>
      <c r="D74" s="48"/>
      <c r="E74" s="52" t="s">
        <v>175</v>
      </c>
      <c r="F74" s="52" t="s">
        <v>7</v>
      </c>
      <c r="G74" s="52" t="s">
        <v>36</v>
      </c>
      <c r="H74" s="48" t="s">
        <v>132</v>
      </c>
      <c r="I74" s="53">
        <v>185000</v>
      </c>
      <c r="J74" s="54">
        <v>15000</v>
      </c>
      <c r="K74" s="48"/>
      <c r="L74" s="55">
        <v>8.1081081081081086E-2</v>
      </c>
      <c r="M74" s="52">
        <v>200000</v>
      </c>
      <c r="N74" s="4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72"/>
    </row>
    <row r="75" spans="1:49" s="32" customFormat="1" x14ac:dyDescent="0.25">
      <c r="A75" s="48"/>
      <c r="B75" s="48">
        <v>21152017</v>
      </c>
      <c r="C75" s="48" t="s">
        <v>44</v>
      </c>
      <c r="D75" s="48"/>
      <c r="E75" s="52" t="s">
        <v>175</v>
      </c>
      <c r="F75" s="52" t="s">
        <v>7</v>
      </c>
      <c r="G75" s="52" t="s">
        <v>36</v>
      </c>
      <c r="H75" s="48" t="s">
        <v>130</v>
      </c>
      <c r="I75" s="53">
        <v>110000</v>
      </c>
      <c r="J75" s="54">
        <v>15000</v>
      </c>
      <c r="K75" s="48"/>
      <c r="L75" s="55">
        <v>0.13636363636363635</v>
      </c>
      <c r="M75" s="52">
        <v>125000</v>
      </c>
      <c r="N75" s="4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72"/>
    </row>
    <row r="76" spans="1:49" s="32" customFormat="1" x14ac:dyDescent="0.25">
      <c r="A76" s="48"/>
      <c r="B76" s="48">
        <v>20342009</v>
      </c>
      <c r="C76" s="48" t="s">
        <v>46</v>
      </c>
      <c r="D76" s="48"/>
      <c r="E76" s="52" t="s">
        <v>175</v>
      </c>
      <c r="F76" s="52" t="s">
        <v>7</v>
      </c>
      <c r="G76" s="52" t="s">
        <v>36</v>
      </c>
      <c r="H76" s="48" t="s">
        <v>4</v>
      </c>
      <c r="I76" s="53">
        <v>50000</v>
      </c>
      <c r="J76" s="54">
        <v>5000</v>
      </c>
      <c r="K76" s="48"/>
      <c r="L76" s="55">
        <v>0.1</v>
      </c>
      <c r="M76" s="52">
        <v>55000</v>
      </c>
      <c r="N76" s="4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72"/>
    </row>
    <row r="77" spans="1:49" s="32" customFormat="1" x14ac:dyDescent="0.25">
      <c r="A77" s="48"/>
      <c r="B77" s="48">
        <v>10752016</v>
      </c>
      <c r="C77" s="48" t="s">
        <v>47</v>
      </c>
      <c r="D77" s="48"/>
      <c r="E77" s="52" t="s">
        <v>175</v>
      </c>
      <c r="F77" s="52" t="s">
        <v>7</v>
      </c>
      <c r="G77" s="52" t="s">
        <v>36</v>
      </c>
      <c r="H77" s="48" t="s">
        <v>4</v>
      </c>
      <c r="I77" s="53">
        <v>40000</v>
      </c>
      <c r="J77" s="54">
        <v>12000</v>
      </c>
      <c r="K77" s="48"/>
      <c r="L77" s="55">
        <v>0.3</v>
      </c>
      <c r="M77" s="52">
        <v>52000</v>
      </c>
      <c r="N77" s="4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72"/>
    </row>
    <row r="78" spans="1:49" s="32" customFormat="1" x14ac:dyDescent="0.25">
      <c r="A78" s="48"/>
      <c r="B78" s="48">
        <v>10732016</v>
      </c>
      <c r="C78" s="48" t="s">
        <v>48</v>
      </c>
      <c r="D78" s="48"/>
      <c r="E78" s="52" t="s">
        <v>175</v>
      </c>
      <c r="F78" s="52" t="s">
        <v>7</v>
      </c>
      <c r="G78" s="52" t="s">
        <v>36</v>
      </c>
      <c r="H78" s="48" t="s">
        <v>4</v>
      </c>
      <c r="I78" s="53">
        <v>38000</v>
      </c>
      <c r="J78" s="54">
        <v>12000</v>
      </c>
      <c r="K78" s="48"/>
      <c r="L78" s="55">
        <v>0.31578947368421051</v>
      </c>
      <c r="M78" s="52">
        <v>50000</v>
      </c>
      <c r="N78" s="4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72"/>
    </row>
    <row r="79" spans="1:49" s="32" customFormat="1" x14ac:dyDescent="0.25">
      <c r="A79" s="48"/>
      <c r="B79" s="48">
        <v>20302005</v>
      </c>
      <c r="C79" s="48" t="s">
        <v>49</v>
      </c>
      <c r="D79" s="48"/>
      <c r="E79" s="52" t="s">
        <v>175</v>
      </c>
      <c r="F79" s="52" t="s">
        <v>7</v>
      </c>
      <c r="G79" s="52" t="s">
        <v>36</v>
      </c>
      <c r="H79" s="48" t="s">
        <v>3</v>
      </c>
      <c r="I79" s="53">
        <v>50000</v>
      </c>
      <c r="J79" s="54">
        <v>5000</v>
      </c>
      <c r="K79" s="48"/>
      <c r="L79" s="55">
        <v>0.1</v>
      </c>
      <c r="M79" s="52">
        <v>55000</v>
      </c>
      <c r="N79" s="4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72"/>
    </row>
    <row r="80" spans="1:49" s="32" customFormat="1" x14ac:dyDescent="0.25">
      <c r="A80" s="48"/>
      <c r="B80" s="48">
        <v>10392012</v>
      </c>
      <c r="C80" s="48" t="s">
        <v>50</v>
      </c>
      <c r="D80" s="48"/>
      <c r="E80" s="52" t="s">
        <v>175</v>
      </c>
      <c r="F80" s="52" t="s">
        <v>7</v>
      </c>
      <c r="G80" s="52" t="s">
        <v>36</v>
      </c>
      <c r="H80" s="48" t="s">
        <v>5</v>
      </c>
      <c r="I80" s="53">
        <v>38000</v>
      </c>
      <c r="J80" s="54">
        <v>4000</v>
      </c>
      <c r="K80" s="48"/>
      <c r="L80" s="55">
        <v>0.10526315789473684</v>
      </c>
      <c r="M80" s="52">
        <v>42000</v>
      </c>
      <c r="N80" s="4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72"/>
    </row>
    <row r="81" spans="1:49" s="32" customFormat="1" x14ac:dyDescent="0.25">
      <c r="A81" s="48"/>
      <c r="B81" s="48">
        <v>10402012</v>
      </c>
      <c r="C81" s="48" t="s">
        <v>51</v>
      </c>
      <c r="D81" s="48"/>
      <c r="E81" s="52" t="s">
        <v>175</v>
      </c>
      <c r="F81" s="52" t="s">
        <v>7</v>
      </c>
      <c r="G81" s="52" t="s">
        <v>36</v>
      </c>
      <c r="H81" s="48" t="s">
        <v>5</v>
      </c>
      <c r="I81" s="53">
        <v>41000</v>
      </c>
      <c r="J81" s="54">
        <v>9000</v>
      </c>
      <c r="K81" s="48"/>
      <c r="L81" s="55">
        <v>0.21951219512195122</v>
      </c>
      <c r="M81" s="52">
        <v>50000</v>
      </c>
      <c r="N81" s="4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72"/>
    </row>
    <row r="82" spans="1:49" s="32" customFormat="1" x14ac:dyDescent="0.25">
      <c r="A82" s="48"/>
      <c r="B82" s="48">
        <v>10722016</v>
      </c>
      <c r="C82" s="48" t="s">
        <v>52</v>
      </c>
      <c r="D82" s="48"/>
      <c r="E82" s="52" t="s">
        <v>175</v>
      </c>
      <c r="F82" s="52" t="s">
        <v>7</v>
      </c>
      <c r="G82" s="52" t="s">
        <v>36</v>
      </c>
      <c r="H82" s="48" t="s">
        <v>6</v>
      </c>
      <c r="I82" s="53">
        <v>33000</v>
      </c>
      <c r="J82" s="54">
        <v>7000</v>
      </c>
      <c r="K82" s="48"/>
      <c r="L82" s="55">
        <v>0.21212121212121213</v>
      </c>
      <c r="M82" s="52">
        <v>40000</v>
      </c>
      <c r="N82" s="4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72"/>
    </row>
    <row r="83" spans="1:49" s="32" customFormat="1" x14ac:dyDescent="0.25">
      <c r="A83" s="48"/>
      <c r="B83" s="48">
        <v>10692016</v>
      </c>
      <c r="C83" s="48" t="s">
        <v>53</v>
      </c>
      <c r="D83" s="48"/>
      <c r="E83" s="52" t="s">
        <v>175</v>
      </c>
      <c r="F83" s="52" t="s">
        <v>7</v>
      </c>
      <c r="G83" s="52" t="s">
        <v>36</v>
      </c>
      <c r="H83" s="48" t="s">
        <v>3</v>
      </c>
      <c r="I83" s="53">
        <v>32000</v>
      </c>
      <c r="J83" s="54">
        <v>8000</v>
      </c>
      <c r="K83" s="48"/>
      <c r="L83" s="55">
        <v>0.25</v>
      </c>
      <c r="M83" s="52">
        <v>40000</v>
      </c>
      <c r="N83" s="4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72"/>
    </row>
    <row r="84" spans="1:49" s="32" customFormat="1" x14ac:dyDescent="0.25">
      <c r="A84" s="48"/>
      <c r="B84" s="48">
        <v>20932017</v>
      </c>
      <c r="C84" s="48" t="s">
        <v>54</v>
      </c>
      <c r="D84" s="48"/>
      <c r="E84" s="52" t="s">
        <v>175</v>
      </c>
      <c r="F84" s="52" t="s">
        <v>7</v>
      </c>
      <c r="G84" s="52" t="s">
        <v>36</v>
      </c>
      <c r="H84" s="48" t="s">
        <v>3</v>
      </c>
      <c r="I84" s="53">
        <v>30000</v>
      </c>
      <c r="J84" s="54">
        <v>7000</v>
      </c>
      <c r="K84" s="48"/>
      <c r="L84" s="55">
        <v>0.23333333333333334</v>
      </c>
      <c r="M84" s="52">
        <v>37000</v>
      </c>
      <c r="N84" s="4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72"/>
    </row>
    <row r="85" spans="1:49" s="32" customFormat="1" x14ac:dyDescent="0.25">
      <c r="A85" s="48"/>
      <c r="B85" s="48">
        <v>21212018</v>
      </c>
      <c r="C85" s="48" t="s">
        <v>55</v>
      </c>
      <c r="D85" s="48"/>
      <c r="E85" s="52" t="s">
        <v>175</v>
      </c>
      <c r="F85" s="52" t="s">
        <v>7</v>
      </c>
      <c r="G85" s="52" t="s">
        <v>36</v>
      </c>
      <c r="H85" s="48" t="s">
        <v>5</v>
      </c>
      <c r="I85" s="53">
        <v>23000</v>
      </c>
      <c r="J85" s="54">
        <v>7000</v>
      </c>
      <c r="K85" s="48"/>
      <c r="L85" s="55">
        <v>0.30434782608695654</v>
      </c>
      <c r="M85" s="52">
        <v>30000</v>
      </c>
      <c r="N85" s="4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72"/>
    </row>
    <row r="86" spans="1:49" s="32" customFormat="1" x14ac:dyDescent="0.25">
      <c r="A86" s="48"/>
      <c r="B86" s="48">
        <v>21322018</v>
      </c>
      <c r="C86" s="48" t="s">
        <v>179</v>
      </c>
      <c r="D86" s="48"/>
      <c r="E86" s="52" t="s">
        <v>175</v>
      </c>
      <c r="F86" s="52" t="s">
        <v>7</v>
      </c>
      <c r="G86" s="52" t="s">
        <v>36</v>
      </c>
      <c r="H86" s="48" t="s">
        <v>5</v>
      </c>
      <c r="I86" s="53">
        <v>23000</v>
      </c>
      <c r="J86" s="54">
        <v>7000</v>
      </c>
      <c r="K86" s="48"/>
      <c r="L86" s="55">
        <v>0.30434782608695654</v>
      </c>
      <c r="M86" s="52">
        <v>30000</v>
      </c>
      <c r="N86" s="4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72"/>
    </row>
    <row r="87" spans="1:49" s="32" customFormat="1" x14ac:dyDescent="0.25">
      <c r="A87" s="48"/>
      <c r="B87" s="48">
        <v>21292018</v>
      </c>
      <c r="C87" s="48" t="s">
        <v>116</v>
      </c>
      <c r="D87" s="48"/>
      <c r="E87" s="52" t="s">
        <v>175</v>
      </c>
      <c r="F87" s="52" t="s">
        <v>7</v>
      </c>
      <c r="G87" s="52" t="s">
        <v>36</v>
      </c>
      <c r="H87" s="48" t="s">
        <v>3</v>
      </c>
      <c r="I87" s="53">
        <v>13000</v>
      </c>
      <c r="J87" s="54">
        <v>5000</v>
      </c>
      <c r="K87" s="48"/>
      <c r="L87" s="55">
        <v>0.38461538461538464</v>
      </c>
      <c r="M87" s="52">
        <v>18000</v>
      </c>
      <c r="N87" s="4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72"/>
    </row>
    <row r="88" spans="1:49" s="32" customFormat="1" x14ac:dyDescent="0.25">
      <c r="A88" s="48"/>
      <c r="B88" s="48">
        <v>21602019</v>
      </c>
      <c r="C88" s="48" t="s">
        <v>348</v>
      </c>
      <c r="D88" s="48"/>
      <c r="E88" s="52" t="s">
        <v>175</v>
      </c>
      <c r="F88" s="52" t="s">
        <v>7</v>
      </c>
      <c r="G88" s="52" t="s">
        <v>36</v>
      </c>
      <c r="H88" s="48" t="s">
        <v>277</v>
      </c>
      <c r="I88" s="53">
        <v>200000</v>
      </c>
      <c r="J88" s="54">
        <v>25000</v>
      </c>
      <c r="K88" s="48"/>
      <c r="L88" s="55">
        <v>0.125</v>
      </c>
      <c r="M88" s="52">
        <v>225000</v>
      </c>
      <c r="N88" s="4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72"/>
    </row>
    <row r="89" spans="1:49" s="32" customFormat="1" x14ac:dyDescent="0.25">
      <c r="A89" s="48"/>
      <c r="B89" s="48">
        <v>11442020</v>
      </c>
      <c r="C89" s="48" t="s">
        <v>349</v>
      </c>
      <c r="D89" s="48"/>
      <c r="E89" s="52" t="s">
        <v>175</v>
      </c>
      <c r="F89" s="52" t="s">
        <v>7</v>
      </c>
      <c r="G89" s="52" t="s">
        <v>36</v>
      </c>
      <c r="H89" s="48" t="s">
        <v>3</v>
      </c>
      <c r="I89" s="53">
        <v>28000</v>
      </c>
      <c r="J89" s="54">
        <v>3000</v>
      </c>
      <c r="K89" s="48"/>
      <c r="L89" s="55">
        <v>0.10714285714285714</v>
      </c>
      <c r="M89" s="52">
        <v>31000</v>
      </c>
      <c r="N89" s="4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72"/>
    </row>
    <row r="90" spans="1:49" s="32" customFormat="1" x14ac:dyDescent="0.25">
      <c r="A90" s="48"/>
      <c r="B90" s="48">
        <v>21792020</v>
      </c>
      <c r="C90" s="48" t="s">
        <v>350</v>
      </c>
      <c r="D90" s="48"/>
      <c r="E90" s="52" t="s">
        <v>175</v>
      </c>
      <c r="F90" s="52" t="s">
        <v>7</v>
      </c>
      <c r="G90" s="52" t="s">
        <v>36</v>
      </c>
      <c r="H90" s="48" t="s">
        <v>3</v>
      </c>
      <c r="I90" s="53">
        <v>28000</v>
      </c>
      <c r="J90" s="54">
        <v>6000</v>
      </c>
      <c r="K90" s="48"/>
      <c r="L90" s="55">
        <v>0.21428571428571427</v>
      </c>
      <c r="M90" s="52">
        <v>34000</v>
      </c>
      <c r="N90" s="4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72"/>
    </row>
    <row r="91" spans="1:49" s="32" customFormat="1" x14ac:dyDescent="0.25">
      <c r="A91" s="48"/>
      <c r="B91" s="48">
        <v>21862020</v>
      </c>
      <c r="C91" s="48" t="s">
        <v>351</v>
      </c>
      <c r="D91" s="48"/>
      <c r="E91" s="52" t="s">
        <v>175</v>
      </c>
      <c r="F91" s="52" t="s">
        <v>7</v>
      </c>
      <c r="G91" s="52" t="s">
        <v>36</v>
      </c>
      <c r="H91" s="48" t="s">
        <v>3</v>
      </c>
      <c r="I91" s="53">
        <v>28000</v>
      </c>
      <c r="J91" s="54">
        <v>5000</v>
      </c>
      <c r="K91" s="48"/>
      <c r="L91" s="55">
        <v>0.17857142857142858</v>
      </c>
      <c r="M91" s="52">
        <v>33000</v>
      </c>
      <c r="N91" s="4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72"/>
    </row>
    <row r="92" spans="1:49" s="32" customFormat="1" x14ac:dyDescent="0.25">
      <c r="A92" s="48"/>
      <c r="B92" s="48">
        <v>11382020</v>
      </c>
      <c r="C92" s="48" t="s">
        <v>352</v>
      </c>
      <c r="D92" s="48"/>
      <c r="E92" s="52" t="s">
        <v>175</v>
      </c>
      <c r="F92" s="52" t="s">
        <v>7</v>
      </c>
      <c r="G92" s="52" t="s">
        <v>36</v>
      </c>
      <c r="H92" s="48" t="s">
        <v>3</v>
      </c>
      <c r="I92" s="53">
        <v>22000</v>
      </c>
      <c r="J92" s="54">
        <v>5000</v>
      </c>
      <c r="K92" s="48"/>
      <c r="L92" s="55">
        <v>0.22727272727272727</v>
      </c>
      <c r="M92" s="52">
        <v>27000</v>
      </c>
      <c r="N92" s="4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72"/>
    </row>
    <row r="93" spans="1:49" s="32" customFormat="1" x14ac:dyDescent="0.25">
      <c r="A93" s="48"/>
      <c r="B93" s="48">
        <v>21692019</v>
      </c>
      <c r="C93" s="48" t="s">
        <v>353</v>
      </c>
      <c r="D93" s="48"/>
      <c r="E93" s="52" t="s">
        <v>175</v>
      </c>
      <c r="F93" s="52" t="s">
        <v>7</v>
      </c>
      <c r="G93" s="52" t="s">
        <v>36</v>
      </c>
      <c r="H93" s="48" t="s">
        <v>27</v>
      </c>
      <c r="I93" s="53">
        <v>11000</v>
      </c>
      <c r="J93" s="54">
        <v>5000</v>
      </c>
      <c r="K93" s="48"/>
      <c r="L93" s="55">
        <v>0.45454545454545453</v>
      </c>
      <c r="M93" s="52">
        <v>16000</v>
      </c>
      <c r="N93" s="4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72"/>
    </row>
    <row r="94" spans="1:49" s="32" customFormat="1" x14ac:dyDescent="0.25">
      <c r="A94" s="48"/>
      <c r="B94" s="48">
        <v>11092018</v>
      </c>
      <c r="C94" s="48" t="s">
        <v>194</v>
      </c>
      <c r="D94" s="48"/>
      <c r="E94" s="52" t="s">
        <v>175</v>
      </c>
      <c r="F94" s="52" t="s">
        <v>7</v>
      </c>
      <c r="G94" s="52" t="s">
        <v>138</v>
      </c>
      <c r="H94" s="48" t="s">
        <v>17</v>
      </c>
      <c r="I94" s="53">
        <v>110000</v>
      </c>
      <c r="J94" s="54">
        <v>30000</v>
      </c>
      <c r="K94" s="48"/>
      <c r="L94" s="55">
        <v>0.27272727272727271</v>
      </c>
      <c r="M94" s="52">
        <v>140000</v>
      </c>
      <c r="N94" s="4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72"/>
    </row>
    <row r="95" spans="1:49" s="32" customFormat="1" x14ac:dyDescent="0.25">
      <c r="A95" s="48"/>
      <c r="B95" s="48">
        <v>30211994</v>
      </c>
      <c r="C95" s="48" t="s">
        <v>64</v>
      </c>
      <c r="D95" s="48"/>
      <c r="E95" s="52" t="s">
        <v>175</v>
      </c>
      <c r="F95" s="52" t="s">
        <v>7</v>
      </c>
      <c r="G95" s="52" t="s">
        <v>138</v>
      </c>
      <c r="H95" s="48" t="s">
        <v>139</v>
      </c>
      <c r="I95" s="53">
        <v>70000</v>
      </c>
      <c r="J95" s="54">
        <v>20000</v>
      </c>
      <c r="K95" s="48"/>
      <c r="L95" s="55">
        <v>0.2857142857142857</v>
      </c>
      <c r="M95" s="52">
        <v>90000</v>
      </c>
      <c r="N95" s="4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72"/>
    </row>
    <row r="96" spans="1:49" s="32" customFormat="1" x14ac:dyDescent="0.25">
      <c r="A96" s="48"/>
      <c r="B96" s="48">
        <v>21032017</v>
      </c>
      <c r="C96" s="48" t="s">
        <v>66</v>
      </c>
      <c r="D96" s="48"/>
      <c r="E96" s="52" t="s">
        <v>175</v>
      </c>
      <c r="F96" s="52" t="s">
        <v>7</v>
      </c>
      <c r="G96" s="52" t="s">
        <v>138</v>
      </c>
      <c r="H96" s="48" t="s">
        <v>8</v>
      </c>
      <c r="I96" s="53">
        <v>26000</v>
      </c>
      <c r="J96" s="54">
        <v>9000</v>
      </c>
      <c r="K96" s="48"/>
      <c r="L96" s="55">
        <v>0.34615384615384615</v>
      </c>
      <c r="M96" s="52">
        <v>35000</v>
      </c>
      <c r="N96" s="4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72"/>
    </row>
    <row r="97" spans="1:49" s="32" customFormat="1" x14ac:dyDescent="0.25">
      <c r="A97" s="48"/>
      <c r="B97" s="48">
        <v>20402006</v>
      </c>
      <c r="C97" s="48" t="s">
        <v>106</v>
      </c>
      <c r="D97" s="48"/>
      <c r="E97" s="52" t="s">
        <v>175</v>
      </c>
      <c r="F97" s="52" t="s">
        <v>7</v>
      </c>
      <c r="G97" s="52" t="s">
        <v>138</v>
      </c>
      <c r="H97" s="48" t="s">
        <v>27</v>
      </c>
      <c r="I97" s="53">
        <v>18000</v>
      </c>
      <c r="J97" s="54">
        <v>3000</v>
      </c>
      <c r="K97" s="48"/>
      <c r="L97" s="55">
        <v>0.16666666666666666</v>
      </c>
      <c r="M97" s="52">
        <v>21000</v>
      </c>
      <c r="N97" s="4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72"/>
    </row>
    <row r="98" spans="1:49" s="32" customFormat="1" x14ac:dyDescent="0.25">
      <c r="A98" s="48"/>
      <c r="B98" s="48">
        <v>10762016</v>
      </c>
      <c r="C98" s="48" t="s">
        <v>74</v>
      </c>
      <c r="D98" s="48"/>
      <c r="E98" s="52" t="s">
        <v>175</v>
      </c>
      <c r="F98" s="52" t="s">
        <v>7</v>
      </c>
      <c r="G98" s="52" t="s">
        <v>146</v>
      </c>
      <c r="H98" s="48" t="s">
        <v>5</v>
      </c>
      <c r="I98" s="53">
        <v>30000</v>
      </c>
      <c r="J98" s="54">
        <v>5000</v>
      </c>
      <c r="K98" s="48"/>
      <c r="L98" s="55">
        <v>0.16666666666666666</v>
      </c>
      <c r="M98" s="52">
        <v>35000</v>
      </c>
      <c r="N98" s="4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72"/>
    </row>
    <row r="99" spans="1:49" s="32" customFormat="1" x14ac:dyDescent="0.25">
      <c r="A99" s="48"/>
      <c r="B99" s="48">
        <v>21762020</v>
      </c>
      <c r="C99" s="48" t="s">
        <v>344</v>
      </c>
      <c r="D99" s="48"/>
      <c r="E99" s="52" t="s">
        <v>175</v>
      </c>
      <c r="F99" s="52" t="s">
        <v>7</v>
      </c>
      <c r="G99" s="52" t="s">
        <v>146</v>
      </c>
      <c r="H99" s="48" t="s">
        <v>4</v>
      </c>
      <c r="I99" s="53">
        <v>60000</v>
      </c>
      <c r="J99" s="54">
        <v>0</v>
      </c>
      <c r="K99" s="48"/>
      <c r="L99" s="55">
        <v>0</v>
      </c>
      <c r="M99" s="52">
        <v>60000</v>
      </c>
      <c r="N99" s="4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72"/>
    </row>
    <row r="100" spans="1:49" s="32" customFormat="1" x14ac:dyDescent="0.25">
      <c r="A100" s="48"/>
      <c r="B100" s="48">
        <v>10062011</v>
      </c>
      <c r="C100" s="48" t="s">
        <v>38</v>
      </c>
      <c r="D100" s="48"/>
      <c r="E100" s="52" t="s">
        <v>175</v>
      </c>
      <c r="F100" s="52" t="s">
        <v>7</v>
      </c>
      <c r="G100" s="52" t="s">
        <v>131</v>
      </c>
      <c r="H100" s="48" t="s">
        <v>268</v>
      </c>
      <c r="I100" s="53">
        <v>150000</v>
      </c>
      <c r="J100" s="54">
        <v>25000</v>
      </c>
      <c r="K100" s="48"/>
      <c r="L100" s="55">
        <v>0.16666666666666666</v>
      </c>
      <c r="M100" s="52">
        <v>175000</v>
      </c>
      <c r="N100" s="4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72"/>
    </row>
    <row r="101" spans="1:49" x14ac:dyDescent="0.25">
      <c r="A101" s="48"/>
      <c r="B101" s="48">
        <v>20042012</v>
      </c>
      <c r="C101" s="48" t="s">
        <v>39</v>
      </c>
      <c r="D101" s="48"/>
      <c r="E101" s="52" t="s">
        <v>175</v>
      </c>
      <c r="F101" s="52" t="s">
        <v>7</v>
      </c>
      <c r="G101" s="52" t="s">
        <v>131</v>
      </c>
      <c r="H101" s="48" t="s">
        <v>270</v>
      </c>
      <c r="I101" s="53">
        <v>120000</v>
      </c>
      <c r="J101" s="54">
        <v>25000</v>
      </c>
      <c r="K101" s="48"/>
      <c r="L101" s="55">
        <v>0.20833333333333334</v>
      </c>
      <c r="M101" s="52">
        <v>145000</v>
      </c>
      <c r="N101" s="48"/>
    </row>
    <row r="102" spans="1:49" x14ac:dyDescent="0.25">
      <c r="A102" s="48"/>
      <c r="B102" s="48">
        <v>10042008</v>
      </c>
      <c r="C102" s="48" t="s">
        <v>126</v>
      </c>
      <c r="D102" s="48"/>
      <c r="E102" s="52" t="s">
        <v>175</v>
      </c>
      <c r="F102" s="52" t="s">
        <v>7</v>
      </c>
      <c r="G102" s="52" t="s">
        <v>131</v>
      </c>
      <c r="H102" s="48" t="s">
        <v>271</v>
      </c>
      <c r="I102" s="53">
        <v>120000</v>
      </c>
      <c r="J102" s="54">
        <v>25000</v>
      </c>
      <c r="K102" s="48"/>
      <c r="L102" s="55">
        <v>0.20833333333333334</v>
      </c>
      <c r="M102" s="52">
        <v>145000</v>
      </c>
      <c r="N102" s="48"/>
    </row>
    <row r="103" spans="1:49" x14ac:dyDescent="0.25">
      <c r="A103" s="48"/>
      <c r="B103" s="48">
        <v>10052012</v>
      </c>
      <c r="C103" s="48" t="s">
        <v>40</v>
      </c>
      <c r="D103" s="48"/>
      <c r="E103" s="52" t="s">
        <v>175</v>
      </c>
      <c r="F103" s="52" t="s">
        <v>7</v>
      </c>
      <c r="G103" s="52" t="s">
        <v>131</v>
      </c>
      <c r="H103" s="48" t="s">
        <v>272</v>
      </c>
      <c r="I103" s="53">
        <v>110000</v>
      </c>
      <c r="J103" s="54">
        <v>40000</v>
      </c>
      <c r="K103" s="48"/>
      <c r="L103" s="55">
        <v>0.36363636363636365</v>
      </c>
      <c r="M103" s="52">
        <v>150000</v>
      </c>
      <c r="N103" s="48"/>
    </row>
    <row r="104" spans="1:49" x14ac:dyDescent="0.25">
      <c r="A104" s="48"/>
      <c r="B104" s="48">
        <v>21072016</v>
      </c>
      <c r="C104" s="48" t="s">
        <v>41</v>
      </c>
      <c r="D104" s="48"/>
      <c r="E104" s="52" t="s">
        <v>175</v>
      </c>
      <c r="F104" s="52" t="s">
        <v>7</v>
      </c>
      <c r="G104" s="52" t="s">
        <v>131</v>
      </c>
      <c r="H104" s="48" t="s">
        <v>21</v>
      </c>
      <c r="I104" s="53">
        <v>58000</v>
      </c>
      <c r="J104" s="54">
        <v>10000</v>
      </c>
      <c r="K104" s="48"/>
      <c r="L104" s="55">
        <v>0.17241379310344829</v>
      </c>
      <c r="M104" s="52">
        <v>68000</v>
      </c>
      <c r="N104" s="48"/>
    </row>
    <row r="105" spans="1:49" x14ac:dyDescent="0.25">
      <c r="A105" s="48"/>
      <c r="B105" s="48">
        <v>10132009</v>
      </c>
      <c r="C105" s="48" t="s">
        <v>42</v>
      </c>
      <c r="D105" s="48"/>
      <c r="E105" s="52" t="s">
        <v>175</v>
      </c>
      <c r="F105" s="52" t="s">
        <v>7</v>
      </c>
      <c r="G105" s="52" t="s">
        <v>131</v>
      </c>
      <c r="H105" s="48" t="s">
        <v>21</v>
      </c>
      <c r="I105" s="53">
        <v>50000</v>
      </c>
      <c r="J105" s="54">
        <v>10000</v>
      </c>
      <c r="K105" s="48"/>
      <c r="L105" s="55">
        <v>0.2</v>
      </c>
      <c r="M105" s="52">
        <v>60000</v>
      </c>
      <c r="N105" s="48"/>
    </row>
    <row r="106" spans="1:49" x14ac:dyDescent="0.25">
      <c r="A106" s="48"/>
      <c r="B106" s="48">
        <v>10182011</v>
      </c>
      <c r="C106" s="48" t="s">
        <v>152</v>
      </c>
      <c r="D106" s="48"/>
      <c r="E106" s="52" t="s">
        <v>175</v>
      </c>
      <c r="F106" s="52" t="s">
        <v>7</v>
      </c>
      <c r="G106" s="52" t="s">
        <v>131</v>
      </c>
      <c r="H106" s="48" t="s">
        <v>9</v>
      </c>
      <c r="I106" s="53">
        <v>40000</v>
      </c>
      <c r="J106" s="54">
        <v>10000</v>
      </c>
      <c r="K106" s="48"/>
      <c r="L106" s="55">
        <v>0.25</v>
      </c>
      <c r="M106" s="52">
        <v>50000</v>
      </c>
      <c r="N106" s="48"/>
    </row>
    <row r="107" spans="1:49" x14ac:dyDescent="0.25">
      <c r="A107" s="48"/>
      <c r="B107" s="48">
        <v>11282018</v>
      </c>
      <c r="C107" s="48" t="s">
        <v>219</v>
      </c>
      <c r="D107" s="48"/>
      <c r="E107" s="52" t="s">
        <v>175</v>
      </c>
      <c r="F107" s="52" t="s">
        <v>7</v>
      </c>
      <c r="G107" s="52" t="s">
        <v>131</v>
      </c>
      <c r="H107" s="48" t="s">
        <v>21</v>
      </c>
      <c r="I107" s="53">
        <v>42000</v>
      </c>
      <c r="J107" s="54">
        <v>8000</v>
      </c>
      <c r="K107" s="48"/>
      <c r="L107" s="55">
        <v>0.19047619047619047</v>
      </c>
      <c r="M107" s="52">
        <v>50000</v>
      </c>
      <c r="N107" s="48"/>
    </row>
    <row r="108" spans="1:49" x14ac:dyDescent="0.25">
      <c r="A108" s="48"/>
      <c r="B108" s="48">
        <v>11392020</v>
      </c>
      <c r="C108" s="48" t="s">
        <v>340</v>
      </c>
      <c r="D108" s="48"/>
      <c r="E108" s="52" t="s">
        <v>175</v>
      </c>
      <c r="F108" s="52" t="s">
        <v>7</v>
      </c>
      <c r="G108" s="52" t="s">
        <v>131</v>
      </c>
      <c r="H108" s="48" t="s">
        <v>273</v>
      </c>
      <c r="I108" s="53">
        <v>90000</v>
      </c>
      <c r="J108" s="54">
        <v>10000</v>
      </c>
      <c r="K108" s="48"/>
      <c r="L108" s="55">
        <v>0.1111111111111111</v>
      </c>
      <c r="M108" s="52">
        <v>100000</v>
      </c>
      <c r="N108" s="48"/>
    </row>
    <row r="109" spans="1:49" x14ac:dyDescent="0.25">
      <c r="A109" s="48"/>
      <c r="B109" s="48">
        <v>11302019</v>
      </c>
      <c r="C109" s="48" t="s">
        <v>223</v>
      </c>
      <c r="D109" s="48"/>
      <c r="E109" s="52" t="s">
        <v>175</v>
      </c>
      <c r="F109" s="52" t="s">
        <v>7</v>
      </c>
      <c r="G109" s="52" t="s">
        <v>131</v>
      </c>
      <c r="H109" s="48" t="s">
        <v>21</v>
      </c>
      <c r="I109" s="53">
        <v>39000</v>
      </c>
      <c r="J109" s="54">
        <v>10000</v>
      </c>
      <c r="K109" s="48"/>
      <c r="L109" s="55">
        <v>0.25641025641025639</v>
      </c>
      <c r="M109" s="52">
        <v>49000</v>
      </c>
      <c r="N109" s="48"/>
    </row>
    <row r="110" spans="1:49" x14ac:dyDescent="0.25">
      <c r="A110" s="48"/>
      <c r="B110" s="48">
        <v>30150000</v>
      </c>
      <c r="C110" s="48" t="s">
        <v>67</v>
      </c>
      <c r="D110" s="48"/>
      <c r="E110" s="52" t="s">
        <v>175</v>
      </c>
      <c r="F110" s="52" t="s">
        <v>7</v>
      </c>
      <c r="G110" s="52" t="s">
        <v>32</v>
      </c>
      <c r="H110" s="48" t="s">
        <v>33</v>
      </c>
      <c r="I110" s="53">
        <v>90000</v>
      </c>
      <c r="J110" s="54">
        <v>10000</v>
      </c>
      <c r="K110" s="48"/>
      <c r="L110" s="55">
        <v>0.1111111111111111</v>
      </c>
      <c r="M110" s="52">
        <v>100000</v>
      </c>
      <c r="N110" s="48"/>
    </row>
    <row r="111" spans="1:49" x14ac:dyDescent="0.25">
      <c r="A111" s="48"/>
      <c r="B111" s="48">
        <v>10242004</v>
      </c>
      <c r="C111" s="48" t="s">
        <v>68</v>
      </c>
      <c r="D111" s="48"/>
      <c r="E111" s="52" t="s">
        <v>175</v>
      </c>
      <c r="F111" s="52" t="s">
        <v>7</v>
      </c>
      <c r="G111" s="52" t="s">
        <v>32</v>
      </c>
      <c r="H111" s="48" t="s">
        <v>3</v>
      </c>
      <c r="I111" s="53">
        <v>37000</v>
      </c>
      <c r="J111" s="54">
        <v>5000</v>
      </c>
      <c r="K111" s="48"/>
      <c r="L111" s="55">
        <v>0.13513513513513514</v>
      </c>
      <c r="M111" s="52">
        <v>42000</v>
      </c>
      <c r="N111" s="48"/>
    </row>
    <row r="112" spans="1:49" s="32" customFormat="1" x14ac:dyDescent="0.25">
      <c r="A112" s="48"/>
      <c r="B112" s="48">
        <v>20922016</v>
      </c>
      <c r="C112" s="48" t="s">
        <v>69</v>
      </c>
      <c r="D112" s="48"/>
      <c r="E112" s="52" t="s">
        <v>175</v>
      </c>
      <c r="F112" s="52" t="s">
        <v>7</v>
      </c>
      <c r="G112" s="52" t="s">
        <v>32</v>
      </c>
      <c r="H112" s="48" t="s">
        <v>6</v>
      </c>
      <c r="I112" s="53">
        <v>28000</v>
      </c>
      <c r="J112" s="54">
        <v>6000</v>
      </c>
      <c r="K112" s="48"/>
      <c r="L112" s="55">
        <v>0.21428571428571427</v>
      </c>
      <c r="M112" s="52">
        <v>34000</v>
      </c>
      <c r="N112" s="4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72"/>
    </row>
    <row r="113" spans="1:49" s="32" customFormat="1" x14ac:dyDescent="0.25">
      <c r="A113" s="48"/>
      <c r="B113" s="48">
        <v>10852017</v>
      </c>
      <c r="C113" s="48" t="s">
        <v>70</v>
      </c>
      <c r="D113" s="48"/>
      <c r="E113" s="52" t="s">
        <v>175</v>
      </c>
      <c r="F113" s="52" t="s">
        <v>7</v>
      </c>
      <c r="G113" s="52" t="s">
        <v>32</v>
      </c>
      <c r="H113" s="48" t="s">
        <v>3</v>
      </c>
      <c r="I113" s="53">
        <v>31000</v>
      </c>
      <c r="J113" s="54">
        <v>5000</v>
      </c>
      <c r="K113" s="48"/>
      <c r="L113" s="55">
        <v>0.16129032258064516</v>
      </c>
      <c r="M113" s="52">
        <v>36000</v>
      </c>
      <c r="N113" s="4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72"/>
    </row>
    <row r="114" spans="1:49" s="32" customFormat="1" x14ac:dyDescent="0.25">
      <c r="A114" s="48"/>
      <c r="B114" s="48">
        <v>20242005</v>
      </c>
      <c r="C114" s="48" t="s">
        <v>71</v>
      </c>
      <c r="D114" s="48"/>
      <c r="E114" s="52" t="s">
        <v>175</v>
      </c>
      <c r="F114" s="52" t="s">
        <v>7</v>
      </c>
      <c r="G114" s="52" t="s">
        <v>32</v>
      </c>
      <c r="H114" s="48" t="s">
        <v>5</v>
      </c>
      <c r="I114" s="53">
        <v>36000</v>
      </c>
      <c r="J114" s="54">
        <v>5000</v>
      </c>
      <c r="K114" s="48"/>
      <c r="L114" s="55">
        <v>0.1388888888888889</v>
      </c>
      <c r="M114" s="52">
        <v>41000</v>
      </c>
      <c r="N114" s="4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72"/>
    </row>
    <row r="115" spans="1:49" s="32" customFormat="1" x14ac:dyDescent="0.25">
      <c r="A115" s="48"/>
      <c r="B115" s="48">
        <v>10982017</v>
      </c>
      <c r="C115" s="48" t="s">
        <v>72</v>
      </c>
      <c r="D115" s="48"/>
      <c r="E115" s="52" t="s">
        <v>175</v>
      </c>
      <c r="F115" s="52" t="s">
        <v>7</v>
      </c>
      <c r="G115" s="52" t="s">
        <v>32</v>
      </c>
      <c r="H115" s="48" t="s">
        <v>4</v>
      </c>
      <c r="I115" s="53">
        <v>26000</v>
      </c>
      <c r="J115" s="54">
        <v>5000</v>
      </c>
      <c r="K115" s="48"/>
      <c r="L115" s="55">
        <v>0.19230769230769232</v>
      </c>
      <c r="M115" s="52">
        <v>31000</v>
      </c>
      <c r="N115" s="4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72"/>
    </row>
    <row r="116" spans="1:49" s="32" customFormat="1" x14ac:dyDescent="0.25">
      <c r="A116" s="48"/>
      <c r="B116" s="48">
        <v>21472019</v>
      </c>
      <c r="C116" s="48" t="s">
        <v>222</v>
      </c>
      <c r="D116" s="48"/>
      <c r="E116" s="52" t="s">
        <v>175</v>
      </c>
      <c r="F116" s="52" t="s">
        <v>7</v>
      </c>
      <c r="G116" s="52" t="s">
        <v>32</v>
      </c>
      <c r="H116" s="48" t="s">
        <v>5</v>
      </c>
      <c r="I116" s="53">
        <v>35000</v>
      </c>
      <c r="J116" s="54">
        <v>6000</v>
      </c>
      <c r="K116" s="48"/>
      <c r="L116" s="55">
        <v>0.17142857142857143</v>
      </c>
      <c r="M116" s="52">
        <v>41000</v>
      </c>
      <c r="N116" s="4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72"/>
    </row>
    <row r="117" spans="1:49" s="32" customFormat="1" x14ac:dyDescent="0.25">
      <c r="A117" s="48"/>
      <c r="B117" s="48">
        <v>11472020</v>
      </c>
      <c r="C117" s="48" t="s">
        <v>343</v>
      </c>
      <c r="D117" s="48"/>
      <c r="E117" s="52" t="s">
        <v>175</v>
      </c>
      <c r="F117" s="52" t="s">
        <v>7</v>
      </c>
      <c r="G117" s="52" t="s">
        <v>32</v>
      </c>
      <c r="H117" s="48" t="s">
        <v>3</v>
      </c>
      <c r="I117" s="53">
        <v>22000</v>
      </c>
      <c r="J117" s="54">
        <v>0</v>
      </c>
      <c r="K117" s="48"/>
      <c r="L117" s="55">
        <v>0</v>
      </c>
      <c r="M117" s="52">
        <v>22000</v>
      </c>
      <c r="N117" s="4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72"/>
    </row>
    <row r="118" spans="1:49" s="32" customFormat="1" x14ac:dyDescent="0.25">
      <c r="A118" s="48"/>
      <c r="B118" s="48">
        <v>11462020</v>
      </c>
      <c r="C118" s="48" t="s">
        <v>357</v>
      </c>
      <c r="D118" s="48"/>
      <c r="E118" s="52" t="s">
        <v>175</v>
      </c>
      <c r="F118" s="52" t="s">
        <v>7</v>
      </c>
      <c r="G118" s="52" t="s">
        <v>276</v>
      </c>
      <c r="H118" s="48" t="s">
        <v>21</v>
      </c>
      <c r="I118" s="53">
        <v>50000</v>
      </c>
      <c r="J118" s="54">
        <v>0</v>
      </c>
      <c r="K118" s="48"/>
      <c r="L118" s="55">
        <v>0</v>
      </c>
      <c r="M118" s="52">
        <v>50000</v>
      </c>
      <c r="N118" s="4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72"/>
    </row>
    <row r="119" spans="1:49" s="32" customFormat="1" x14ac:dyDescent="0.25">
      <c r="A119" s="48"/>
      <c r="B119" s="48">
        <v>21252018</v>
      </c>
      <c r="C119" s="48" t="s">
        <v>210</v>
      </c>
      <c r="D119" s="48"/>
      <c r="E119" s="52" t="s">
        <v>175</v>
      </c>
      <c r="F119" s="52" t="s">
        <v>7</v>
      </c>
      <c r="G119" s="52" t="s">
        <v>211</v>
      </c>
      <c r="H119" s="48" t="s">
        <v>212</v>
      </c>
      <c r="I119" s="53">
        <v>19000</v>
      </c>
      <c r="J119" s="54">
        <v>1000</v>
      </c>
      <c r="K119" s="48"/>
      <c r="L119" s="55">
        <v>5.2631578947368418E-2</v>
      </c>
      <c r="M119" s="52">
        <v>20000</v>
      </c>
      <c r="N119" s="48" t="s">
        <v>285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72"/>
    </row>
    <row r="120" spans="1:49" s="32" customFormat="1" x14ac:dyDescent="0.25">
      <c r="A120" s="48"/>
      <c r="B120" s="48">
        <v>20522011</v>
      </c>
      <c r="C120" s="48" t="s">
        <v>214</v>
      </c>
      <c r="D120" s="48"/>
      <c r="E120" s="52" t="s">
        <v>175</v>
      </c>
      <c r="F120" s="52" t="s">
        <v>7</v>
      </c>
      <c r="G120" s="52" t="s">
        <v>211</v>
      </c>
      <c r="H120" s="48" t="s">
        <v>212</v>
      </c>
      <c r="I120" s="53">
        <v>19000</v>
      </c>
      <c r="J120" s="54">
        <v>1000</v>
      </c>
      <c r="K120" s="48"/>
      <c r="L120" s="55">
        <v>5.2631578947368418E-2</v>
      </c>
      <c r="M120" s="52">
        <v>20000</v>
      </c>
      <c r="N120" s="48" t="s">
        <v>285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72"/>
    </row>
    <row r="121" spans="1:49" s="32" customFormat="1" x14ac:dyDescent="0.25">
      <c r="A121" s="48"/>
      <c r="B121" s="48">
        <v>21242018</v>
      </c>
      <c r="C121" s="48" t="s">
        <v>215</v>
      </c>
      <c r="D121" s="48"/>
      <c r="E121" s="52" t="s">
        <v>175</v>
      </c>
      <c r="F121" s="52" t="s">
        <v>7</v>
      </c>
      <c r="G121" s="52" t="s">
        <v>211</v>
      </c>
      <c r="H121" s="48" t="s">
        <v>212</v>
      </c>
      <c r="I121" s="53">
        <v>19000</v>
      </c>
      <c r="J121" s="54">
        <v>1000</v>
      </c>
      <c r="K121" s="48"/>
      <c r="L121" s="55">
        <v>5.2631578947368418E-2</v>
      </c>
      <c r="M121" s="52">
        <v>20000</v>
      </c>
      <c r="N121" s="48" t="s">
        <v>285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72"/>
    </row>
    <row r="122" spans="1:49" s="32" customFormat="1" x14ac:dyDescent="0.25">
      <c r="A122" s="48"/>
      <c r="B122" s="48">
        <v>10612015</v>
      </c>
      <c r="C122" s="48" t="s">
        <v>216</v>
      </c>
      <c r="D122" s="48"/>
      <c r="E122" s="52" t="s">
        <v>175</v>
      </c>
      <c r="F122" s="52" t="s">
        <v>7</v>
      </c>
      <c r="G122" s="52" t="s">
        <v>211</v>
      </c>
      <c r="H122" s="48" t="s">
        <v>212</v>
      </c>
      <c r="I122" s="53">
        <v>19000</v>
      </c>
      <c r="J122" s="54">
        <v>1000</v>
      </c>
      <c r="K122" s="48"/>
      <c r="L122" s="55">
        <v>5.2631578947368418E-2</v>
      </c>
      <c r="M122" s="52">
        <v>20000</v>
      </c>
      <c r="N122" s="48" t="s">
        <v>285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72"/>
    </row>
    <row r="123" spans="1:49" s="32" customFormat="1" x14ac:dyDescent="0.25">
      <c r="A123" s="48"/>
      <c r="B123" s="48">
        <v>21642019</v>
      </c>
      <c r="C123" s="48" t="s">
        <v>365</v>
      </c>
      <c r="D123" s="48"/>
      <c r="E123" s="52" t="s">
        <v>175</v>
      </c>
      <c r="F123" s="52" t="s">
        <v>7</v>
      </c>
      <c r="G123" s="52" t="s">
        <v>211</v>
      </c>
      <c r="H123" s="48" t="s">
        <v>212</v>
      </c>
      <c r="I123" s="53">
        <v>19000</v>
      </c>
      <c r="J123" s="54">
        <v>1000</v>
      </c>
      <c r="K123" s="48"/>
      <c r="L123" s="55">
        <v>5.2631578947368418E-2</v>
      </c>
      <c r="M123" s="52">
        <v>20000</v>
      </c>
      <c r="N123" s="48" t="s">
        <v>285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72"/>
    </row>
    <row r="124" spans="1:49" s="32" customFormat="1" x14ac:dyDescent="0.25">
      <c r="A124" s="48"/>
      <c r="B124" s="48">
        <v>21562019</v>
      </c>
      <c r="C124" s="48" t="s">
        <v>366</v>
      </c>
      <c r="D124" s="48"/>
      <c r="E124" s="52" t="s">
        <v>175</v>
      </c>
      <c r="F124" s="52" t="s">
        <v>7</v>
      </c>
      <c r="G124" s="52" t="s">
        <v>211</v>
      </c>
      <c r="H124" s="48" t="s">
        <v>212</v>
      </c>
      <c r="I124" s="53">
        <v>19000</v>
      </c>
      <c r="J124" s="54">
        <v>1000</v>
      </c>
      <c r="K124" s="48"/>
      <c r="L124" s="55">
        <v>5.2631578947368418E-2</v>
      </c>
      <c r="M124" s="52">
        <v>20000</v>
      </c>
      <c r="N124" s="48" t="s">
        <v>285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72"/>
    </row>
    <row r="125" spans="1:49" x14ac:dyDescent="0.25">
      <c r="A125" s="48"/>
      <c r="B125" s="48">
        <v>21622019</v>
      </c>
      <c r="C125" s="48" t="s">
        <v>367</v>
      </c>
      <c r="D125" s="48"/>
      <c r="E125" s="52" t="s">
        <v>175</v>
      </c>
      <c r="F125" s="52" t="s">
        <v>7</v>
      </c>
      <c r="G125" s="52" t="s">
        <v>211</v>
      </c>
      <c r="H125" s="48" t="s">
        <v>212</v>
      </c>
      <c r="I125" s="53">
        <v>19000</v>
      </c>
      <c r="J125" s="54">
        <v>1000</v>
      </c>
      <c r="K125" s="48"/>
      <c r="L125" s="55">
        <v>5.2631578947368418E-2</v>
      </c>
      <c r="M125" s="52">
        <v>20000</v>
      </c>
      <c r="N125" s="48" t="s">
        <v>285</v>
      </c>
    </row>
    <row r="126" spans="1:49" x14ac:dyDescent="0.25">
      <c r="A126" s="48"/>
      <c r="B126" s="48">
        <v>21632019</v>
      </c>
      <c r="C126" s="48" t="s">
        <v>368</v>
      </c>
      <c r="D126" s="48"/>
      <c r="E126" s="52" t="s">
        <v>175</v>
      </c>
      <c r="F126" s="52" t="s">
        <v>7</v>
      </c>
      <c r="G126" s="52" t="s">
        <v>211</v>
      </c>
      <c r="H126" s="48" t="s">
        <v>212</v>
      </c>
      <c r="I126" s="53">
        <v>19000</v>
      </c>
      <c r="J126" s="54">
        <v>1000</v>
      </c>
      <c r="K126" s="48"/>
      <c r="L126" s="55">
        <v>5.2631578947368418E-2</v>
      </c>
      <c r="M126" s="52">
        <v>20000</v>
      </c>
      <c r="N126" s="48" t="s">
        <v>285</v>
      </c>
    </row>
    <row r="127" spans="1:49" x14ac:dyDescent="0.25">
      <c r="A127" s="48"/>
      <c r="B127" s="48">
        <v>21682019</v>
      </c>
      <c r="C127" s="48" t="s">
        <v>369</v>
      </c>
      <c r="D127" s="48"/>
      <c r="E127" s="52" t="s">
        <v>175</v>
      </c>
      <c r="F127" s="52" t="s">
        <v>7</v>
      </c>
      <c r="G127" s="52" t="s">
        <v>211</v>
      </c>
      <c r="H127" s="48" t="s">
        <v>212</v>
      </c>
      <c r="I127" s="53">
        <v>19000</v>
      </c>
      <c r="J127" s="54">
        <v>1000</v>
      </c>
      <c r="K127" s="48"/>
      <c r="L127" s="55">
        <v>5.2631578947368418E-2</v>
      </c>
      <c r="M127" s="52">
        <v>20000</v>
      </c>
      <c r="N127" s="48" t="s">
        <v>285</v>
      </c>
    </row>
    <row r="128" spans="1:49" x14ac:dyDescent="0.25">
      <c r="A128" s="48"/>
      <c r="B128" s="48">
        <v>21862021</v>
      </c>
      <c r="C128" s="48" t="s">
        <v>286</v>
      </c>
      <c r="D128" s="48"/>
      <c r="E128" s="52" t="s">
        <v>175</v>
      </c>
      <c r="F128" s="52" t="s">
        <v>7</v>
      </c>
      <c r="G128" s="52" t="s">
        <v>211</v>
      </c>
      <c r="H128" s="48" t="s">
        <v>212</v>
      </c>
      <c r="I128" s="53">
        <v>19000</v>
      </c>
      <c r="J128" s="54">
        <v>1000</v>
      </c>
      <c r="K128" s="48"/>
      <c r="L128" s="55">
        <v>5.2631578947368418E-2</v>
      </c>
      <c r="M128" s="52">
        <v>20000</v>
      </c>
      <c r="N128" s="48" t="s">
        <v>285</v>
      </c>
    </row>
    <row r="129" spans="1:14" x14ac:dyDescent="0.25">
      <c r="A129" s="48"/>
      <c r="B129" s="48">
        <v>21532019</v>
      </c>
      <c r="C129" s="48" t="s">
        <v>370</v>
      </c>
      <c r="D129" s="48"/>
      <c r="E129" s="52" t="s">
        <v>175</v>
      </c>
      <c r="F129" s="52" t="s">
        <v>7</v>
      </c>
      <c r="G129" s="52" t="s">
        <v>211</v>
      </c>
      <c r="H129" s="48" t="s">
        <v>212</v>
      </c>
      <c r="I129" s="53">
        <v>18000</v>
      </c>
      <c r="J129" s="54">
        <v>2000</v>
      </c>
      <c r="K129" s="48"/>
      <c r="L129" s="55">
        <v>0.1111111111111111</v>
      </c>
      <c r="M129" s="52">
        <v>20000</v>
      </c>
      <c r="N129" s="48" t="s">
        <v>285</v>
      </c>
    </row>
    <row r="130" spans="1:14" x14ac:dyDescent="0.25">
      <c r="A130" s="48"/>
      <c r="B130" s="48">
        <v>21832020</v>
      </c>
      <c r="C130" s="48" t="s">
        <v>371</v>
      </c>
      <c r="D130" s="48"/>
      <c r="E130" s="52" t="s">
        <v>175</v>
      </c>
      <c r="F130" s="52" t="s">
        <v>7</v>
      </c>
      <c r="G130" s="52" t="s">
        <v>211</v>
      </c>
      <c r="H130" s="48" t="s">
        <v>212</v>
      </c>
      <c r="I130" s="53">
        <v>18000</v>
      </c>
      <c r="J130" s="54">
        <v>2000</v>
      </c>
      <c r="K130" s="48"/>
      <c r="L130" s="55">
        <v>0.1111111111111111</v>
      </c>
      <c r="M130" s="52">
        <v>20000</v>
      </c>
      <c r="N130" s="48" t="s">
        <v>285</v>
      </c>
    </row>
    <row r="131" spans="1:14" x14ac:dyDescent="0.25">
      <c r="A131" s="48"/>
      <c r="B131" s="48">
        <v>21782020</v>
      </c>
      <c r="C131" s="48" t="s">
        <v>372</v>
      </c>
      <c r="D131" s="48"/>
      <c r="E131" s="52" t="s">
        <v>175</v>
      </c>
      <c r="F131" s="52" t="s">
        <v>7</v>
      </c>
      <c r="G131" s="52" t="s">
        <v>211</v>
      </c>
      <c r="H131" s="48" t="s">
        <v>212</v>
      </c>
      <c r="I131" s="53">
        <v>18000</v>
      </c>
      <c r="J131" s="54">
        <v>1000</v>
      </c>
      <c r="K131" s="48"/>
      <c r="L131" s="55">
        <v>5.5555555555555552E-2</v>
      </c>
      <c r="M131" s="52">
        <v>19000</v>
      </c>
      <c r="N131" s="48" t="s">
        <v>287</v>
      </c>
    </row>
    <row r="132" spans="1:14" x14ac:dyDescent="0.25">
      <c r="A132" s="48"/>
      <c r="B132" s="48">
        <v>21732020</v>
      </c>
      <c r="C132" s="48" t="s">
        <v>373</v>
      </c>
      <c r="D132" s="48"/>
      <c r="E132" s="52" t="s">
        <v>175</v>
      </c>
      <c r="F132" s="52" t="s">
        <v>7</v>
      </c>
      <c r="G132" s="52" t="s">
        <v>211</v>
      </c>
      <c r="H132" s="48" t="s">
        <v>212</v>
      </c>
      <c r="I132" s="53">
        <v>17000</v>
      </c>
      <c r="J132" s="54">
        <v>2000</v>
      </c>
      <c r="K132" s="48"/>
      <c r="L132" s="55">
        <v>0.11764705882352941</v>
      </c>
      <c r="M132" s="52">
        <v>19000</v>
      </c>
      <c r="N132" s="48" t="s">
        <v>287</v>
      </c>
    </row>
    <row r="133" spans="1:14" x14ac:dyDescent="0.25">
      <c r="A133" s="48"/>
      <c r="B133" s="48">
        <v>21422018</v>
      </c>
      <c r="C133" s="48" t="s">
        <v>204</v>
      </c>
      <c r="D133" s="48"/>
      <c r="E133" s="52" t="s">
        <v>175</v>
      </c>
      <c r="F133" s="52" t="s">
        <v>7</v>
      </c>
      <c r="G133" s="52" t="s">
        <v>20</v>
      </c>
      <c r="H133" s="48" t="s">
        <v>205</v>
      </c>
      <c r="I133" s="53">
        <v>16000</v>
      </c>
      <c r="J133" s="54">
        <v>2000</v>
      </c>
      <c r="K133" s="48"/>
      <c r="L133" s="55">
        <v>0.125</v>
      </c>
      <c r="M133" s="52">
        <v>18000</v>
      </c>
      <c r="N133" s="48"/>
    </row>
    <row r="134" spans="1:14" x14ac:dyDescent="0.25">
      <c r="A134" s="48"/>
      <c r="B134" s="48">
        <v>30482016</v>
      </c>
      <c r="C134" s="48" t="s">
        <v>360</v>
      </c>
      <c r="D134" s="48"/>
      <c r="E134" s="52" t="s">
        <v>175</v>
      </c>
      <c r="F134" s="52" t="s">
        <v>7</v>
      </c>
      <c r="G134" s="52" t="s">
        <v>20</v>
      </c>
      <c r="H134" s="48" t="s">
        <v>283</v>
      </c>
      <c r="I134" s="53">
        <v>23000</v>
      </c>
      <c r="J134" s="54">
        <v>2000</v>
      </c>
      <c r="K134" s="48"/>
      <c r="L134" s="55">
        <v>8.6956521739130432E-2</v>
      </c>
      <c r="M134" s="52">
        <v>25000</v>
      </c>
      <c r="N134" s="48"/>
    </row>
    <row r="136" spans="1:14" x14ac:dyDescent="0.25">
      <c r="G136" s="104" t="s">
        <v>380</v>
      </c>
      <c r="H136" s="105" t="s">
        <v>384</v>
      </c>
      <c r="I136" s="105" t="s">
        <v>381</v>
      </c>
      <c r="J136" s="106" t="s">
        <v>382</v>
      </c>
      <c r="K136" s="105" t="s">
        <v>383</v>
      </c>
    </row>
    <row r="137" spans="1:14" x14ac:dyDescent="0.25">
      <c r="F137" s="1" t="s">
        <v>131</v>
      </c>
      <c r="G137" s="104">
        <f ca="1">SUMIF(G2:N134,F137,J2:J134)</f>
        <v>173000</v>
      </c>
      <c r="H137" s="105">
        <f>COUNTIF(G2:G134,F137)</f>
        <v>10</v>
      </c>
      <c r="I137" s="105">
        <v>0.19840872234061088</v>
      </c>
      <c r="J137" s="106">
        <v>1620000</v>
      </c>
      <c r="K137" s="105">
        <v>7.160493827160494E-2</v>
      </c>
    </row>
    <row r="138" spans="1:14" x14ac:dyDescent="0.25">
      <c r="F138" s="1" t="s">
        <v>36</v>
      </c>
      <c r="G138" s="104">
        <f ca="1">SUMIF(G2:N134,F138,J2:J134)</f>
        <v>167000</v>
      </c>
      <c r="H138" s="105"/>
      <c r="I138" s="105">
        <v>0.22847122013788684</v>
      </c>
      <c r="J138" s="106">
        <v>432000</v>
      </c>
      <c r="K138" s="105">
        <v>0.14351851851851852</v>
      </c>
    </row>
    <row r="139" spans="1:14" x14ac:dyDescent="0.25">
      <c r="F139" s="1" t="s">
        <v>37</v>
      </c>
      <c r="G139" s="104">
        <f ca="1">SUMIF(G2:N134,F139,J2:J134)</f>
        <v>52000</v>
      </c>
      <c r="H139" s="105"/>
      <c r="I139" s="105">
        <v>4.4444444444444446E-2</v>
      </c>
      <c r="J139" s="106">
        <v>214000</v>
      </c>
      <c r="K139" s="105">
        <v>3.7383177570093455E-2</v>
      </c>
    </row>
    <row r="140" spans="1:14" x14ac:dyDescent="0.25">
      <c r="F140" s="1" t="s">
        <v>137</v>
      </c>
      <c r="G140" s="104">
        <f ca="1">SUMIF(G2:N134,F140,J2:J134)</f>
        <v>59000</v>
      </c>
      <c r="H140" s="105"/>
      <c r="I140" s="105">
        <v>0.18954815637845093</v>
      </c>
      <c r="J140" s="106">
        <v>225000</v>
      </c>
      <c r="K140" s="105">
        <v>0.19111111111111112</v>
      </c>
    </row>
    <row r="141" spans="1:14" x14ac:dyDescent="0.25">
      <c r="F141" s="1" t="s">
        <v>32</v>
      </c>
      <c r="G141" s="104">
        <f ca="1">SUMIF(G2:N134,F141,J2:J134)</f>
        <v>42000</v>
      </c>
      <c r="H141" s="105"/>
      <c r="I141" s="105">
        <v>0.30007728193761229</v>
      </c>
      <c r="J141" s="106">
        <v>386000</v>
      </c>
      <c r="K141" s="105">
        <v>0.22279792746113988</v>
      </c>
    </row>
    <row r="142" spans="1:14" x14ac:dyDescent="0.25">
      <c r="F142" s="1" t="s">
        <v>19</v>
      </c>
      <c r="G142" s="104">
        <f ca="1">SUMIF(G2:N134,F142,J2:J134)</f>
        <v>191000</v>
      </c>
      <c r="H142" s="105"/>
      <c r="I142" s="105">
        <v>0.29589371980676327</v>
      </c>
      <c r="J142" s="106">
        <v>89000</v>
      </c>
      <c r="K142" s="105">
        <v>0.29213483146067415</v>
      </c>
    </row>
    <row r="143" spans="1:14" x14ac:dyDescent="0.25">
      <c r="F143" s="1" t="s">
        <v>138</v>
      </c>
      <c r="G143" s="104">
        <f ca="1">SUMIF(G2:N134,F143,J2:J134)</f>
        <v>62000</v>
      </c>
      <c r="H143" s="105"/>
      <c r="I143" s="105">
        <v>0.16666666666666666</v>
      </c>
      <c r="J143" s="106">
        <v>90000</v>
      </c>
      <c r="K143" s="105">
        <v>0.16666666666666666</v>
      </c>
    </row>
    <row r="144" spans="1:14" x14ac:dyDescent="0.25">
      <c r="F144" s="1" t="s">
        <v>276</v>
      </c>
      <c r="G144" s="104">
        <f ca="1">SUMIF(G2:N134,F144,J2:J134)</f>
        <v>27000</v>
      </c>
      <c r="H144" s="105"/>
      <c r="I144" s="105">
        <v>9.8941004794663334E-2</v>
      </c>
      <c r="J144" s="106">
        <v>190000</v>
      </c>
      <c r="K144" s="105">
        <v>8.9473684210526316E-2</v>
      </c>
    </row>
    <row r="145" spans="6:11" x14ac:dyDescent="0.25">
      <c r="F145" s="1" t="s">
        <v>20</v>
      </c>
      <c r="G145" s="104">
        <f ca="1">SUMIF(G2:N134,F145,J2:J134)</f>
        <v>71000</v>
      </c>
      <c r="H145" s="105"/>
      <c r="I145" s="105">
        <v>0.02</v>
      </c>
      <c r="J145" s="106">
        <v>192000</v>
      </c>
      <c r="K145" s="105">
        <v>1.5625E-2</v>
      </c>
    </row>
    <row r="146" spans="6:11" x14ac:dyDescent="0.25">
      <c r="F146" s="1" t="s">
        <v>211</v>
      </c>
      <c r="G146" s="104">
        <f ca="1">SUMIF(G2:N134,F146,J2:J134)</f>
        <v>17000</v>
      </c>
      <c r="H146" s="105"/>
      <c r="I146" s="105">
        <v>0</v>
      </c>
      <c r="J146" s="106">
        <v>155000</v>
      </c>
      <c r="K146" s="105">
        <v>0</v>
      </c>
    </row>
    <row r="147" spans="6:11" x14ac:dyDescent="0.25">
      <c r="F147" s="1" t="s">
        <v>146</v>
      </c>
      <c r="G147" s="104">
        <f ca="1">SUMIF(G2:N134,F147,J2:J134)</f>
        <v>5000</v>
      </c>
      <c r="H147" s="105"/>
      <c r="I147" s="105">
        <v>0.16020408163265307</v>
      </c>
      <c r="J147" s="106">
        <v>71000</v>
      </c>
      <c r="K147" s="105">
        <v>0.21126760563380281</v>
      </c>
    </row>
    <row r="148" spans="6:11" x14ac:dyDescent="0.25">
      <c r="G148" s="104"/>
      <c r="H148" s="105"/>
      <c r="I148" s="105"/>
      <c r="J148" s="106">
        <v>3664000</v>
      </c>
      <c r="K148" s="105"/>
    </row>
    <row r="149" spans="6:11" x14ac:dyDescent="0.25">
      <c r="G149" s="104"/>
      <c r="H149" s="105"/>
      <c r="I149" s="105"/>
      <c r="J149" s="106"/>
      <c r="K149" s="105"/>
    </row>
  </sheetData>
  <conditionalFormatting sqref="E1:E1048576">
    <cfRule type="containsText" dxfId="1" priority="3" operator="containsText" text="Inactive">
      <formula>NOT(ISERROR(SEARCH("Inactive",E1)))</formula>
    </cfRule>
  </conditionalFormatting>
  <conditionalFormatting sqref="B1:B1048576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Sheet1</vt:lpstr>
      <vt:lpstr>DataBase</vt:lpstr>
      <vt:lpstr>Sheet4</vt:lpstr>
      <vt:lpstr>Sheet5</vt:lpstr>
      <vt:lpstr>2019</vt:lpstr>
      <vt:lpstr>2020</vt:lpstr>
      <vt:lpstr>TS_PDL</vt:lpstr>
      <vt:lpstr>2020_PDL</vt:lpstr>
      <vt:lpstr>2019_PDL</vt:lpstr>
      <vt:lpstr>2017</vt:lpstr>
      <vt:lpstr>2020_BTL</vt:lpstr>
      <vt:lpstr>TS_PDL!Print_Area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Rahman</dc:creator>
  <cp:lastModifiedBy>Navid Rahman</cp:lastModifiedBy>
  <cp:lastPrinted>2021-11-03T07:18:20Z</cp:lastPrinted>
  <dcterms:created xsi:type="dcterms:W3CDTF">2015-06-05T18:17:20Z</dcterms:created>
  <dcterms:modified xsi:type="dcterms:W3CDTF">2021-11-13T05:39:11Z</dcterms:modified>
</cp:coreProperties>
</file>